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f741228aacd2/Desktop/cap pro kpi part 2/ajaysingh_2511011_part2_kpi_experiment/outputs/"/>
    </mc:Choice>
  </mc:AlternateContent>
  <xr:revisionPtr revIDLastSave="2" documentId="8_{B609C4E0-AEEB-42AC-BC52-ECA0DEAE2814}" xr6:coauthVersionLast="47" xr6:coauthVersionMax="47" xr10:uidLastSave="{731F7C5A-E388-4667-9FFE-7DBC7A203DC8}"/>
  <bookViews>
    <workbookView xWindow="-108" yWindow="-108" windowWidth="23256" windowHeight="12456" xr2:uid="{CC9847D5-5021-4DCE-B215-CB007CB4A8B3}"/>
  </bookViews>
  <sheets>
    <sheet name="Sheet1" sheetId="1" r:id="rId1"/>
  </sheets>
  <externalReferences>
    <externalReference r:id="rId2"/>
  </externalReferences>
  <calcPr calcId="191029"/>
  <pivotCaches>
    <pivotCache cacheId="3" r:id="rId3"/>
    <pivotCache cacheId="4" r:id="rId4"/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</calcChain>
</file>

<file path=xl/sharedStrings.xml><?xml version="1.0" encoding="utf-8"?>
<sst xmlns="http://schemas.openxmlformats.org/spreadsheetml/2006/main" count="171" uniqueCount="53">
  <si>
    <t xml:space="preserve"> Analyzed by segment</t>
  </si>
  <si>
    <t>Compare Control vs Treatment summery</t>
  </si>
  <si>
    <t>Segment Analysis #1 : Paid Conversion Rate By Region.</t>
  </si>
  <si>
    <t>Segment Analysis #2 : Support Ticket Rate by Region</t>
  </si>
  <si>
    <t>Segment Analysis #3 : Sum of Landing Page Visited by region</t>
  </si>
  <si>
    <t>METRIC</t>
  </si>
  <si>
    <t>CONTROL</t>
  </si>
  <si>
    <t>TREATMENT</t>
  </si>
  <si>
    <t>Average of converted_to_paid</t>
  </si>
  <si>
    <t>Column Labels</t>
  </si>
  <si>
    <t>Average of has_support_ticket</t>
  </si>
  <si>
    <t>Average of visited_landing_page</t>
  </si>
  <si>
    <t>User count</t>
  </si>
  <si>
    <t>Row Labels</t>
  </si>
  <si>
    <t>Control</t>
  </si>
  <si>
    <t>Treatment</t>
  </si>
  <si>
    <t>Grand Total</t>
  </si>
  <si>
    <t>(blank)</t>
  </si>
  <si>
    <t>Landing page visit rate</t>
  </si>
  <si>
    <t>East</t>
  </si>
  <si>
    <t>Trial start rate</t>
  </si>
  <si>
    <t>North</t>
  </si>
  <si>
    <t>Onboarding completion rate</t>
  </si>
  <si>
    <t>South</t>
  </si>
  <si>
    <t>Paid conversion rate</t>
  </si>
  <si>
    <t>West</t>
  </si>
  <si>
    <t>Average revenue per user</t>
  </si>
  <si>
    <t>Average revenue per converted user</t>
  </si>
  <si>
    <t>Refund rate</t>
  </si>
  <si>
    <t>Support ticket rate</t>
  </si>
  <si>
    <t>Segment Analysis # : Paid Conversion rate by Device Type</t>
  </si>
  <si>
    <t>Segment Analysis # : Support Ticket Rate by Device Type</t>
  </si>
  <si>
    <t>Average engagement score</t>
  </si>
  <si>
    <t>Average days to convert</t>
  </si>
  <si>
    <t>Segment Analysis # : Sum of Landing Page Visited  by Device Type</t>
  </si>
  <si>
    <t>Desktop</t>
  </si>
  <si>
    <t>Mobile</t>
  </si>
  <si>
    <t>Tablet</t>
  </si>
  <si>
    <t>Unknown</t>
  </si>
  <si>
    <t>Segment Analysis #: Paid Conversion Rate by Traffic Source</t>
  </si>
  <si>
    <t>Segment Analysis #2 : Support Ticket Rate by Traffic Source</t>
  </si>
  <si>
    <t>Segment Analysis #: Sum ofLanding Page Visited  by Traffic Source</t>
  </si>
  <si>
    <t>Email</t>
  </si>
  <si>
    <t>Organic</t>
  </si>
  <si>
    <t>Paid Search</t>
  </si>
  <si>
    <t>Referral</t>
  </si>
  <si>
    <t>Social</t>
  </si>
  <si>
    <t>Segment Analysis #: Paid Conversion Rate by Plan Type</t>
  </si>
  <si>
    <t>Segment Analysis #2 : Support Ticket Rate by Plan Type</t>
  </si>
  <si>
    <t>Segment Analysis # : Sum of Landing Page Visited  by Plan Type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</si>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</sst>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4292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4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D10F741228AACD2/Desktop/Experiment_data.xlsx" TargetMode="External"/><Relationship Id="rId1" Type="http://schemas.openxmlformats.org/officeDocument/2006/relationships/externalLinkPath" Target="Experiment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ypo &amp; AB test"/>
      <sheetName val="Sheet2"/>
      <sheetName val="experiment_summary"/>
    </sheetNames>
    <sheetDataSet>
      <sheetData sheetId="0">
        <row r="2">
          <cell r="C2" t="str">
            <v>Control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>
            <v>0</v>
          </cell>
          <cell r="N2">
            <v>0</v>
          </cell>
          <cell r="P2">
            <v>0</v>
          </cell>
          <cell r="R2">
            <v>45.7</v>
          </cell>
        </row>
        <row r="3">
          <cell r="C3" t="str">
            <v>Control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M3">
            <v>0</v>
          </cell>
          <cell r="N3">
            <v>0</v>
          </cell>
          <cell r="P3">
            <v>0</v>
          </cell>
          <cell r="R3">
            <v>48.6</v>
          </cell>
        </row>
        <row r="4">
          <cell r="C4" t="str">
            <v>Control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  <cell r="N4">
            <v>1</v>
          </cell>
          <cell r="P4">
            <v>0</v>
          </cell>
          <cell r="R4">
            <v>35.4</v>
          </cell>
        </row>
        <row r="5">
          <cell r="C5" t="str">
            <v>Control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  <cell r="N5">
            <v>0</v>
          </cell>
          <cell r="P5">
            <v>0</v>
          </cell>
          <cell r="R5">
            <v>64.599999999999994</v>
          </cell>
        </row>
        <row r="6">
          <cell r="C6" t="str">
            <v>Control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M6">
            <v>0</v>
          </cell>
          <cell r="N6">
            <v>0</v>
          </cell>
          <cell r="P6">
            <v>0</v>
          </cell>
          <cell r="R6">
            <v>66.599999999999994</v>
          </cell>
        </row>
        <row r="7">
          <cell r="C7" t="str">
            <v>Control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M7">
            <v>0</v>
          </cell>
          <cell r="N7">
            <v>0</v>
          </cell>
          <cell r="P7">
            <v>0</v>
          </cell>
          <cell r="R7">
            <v>40.799999999999997</v>
          </cell>
        </row>
        <row r="8">
          <cell r="C8" t="str">
            <v>Control</v>
          </cell>
          <cell r="H8">
            <v>1</v>
          </cell>
          <cell r="I8">
            <v>1</v>
          </cell>
          <cell r="J8">
            <v>0</v>
          </cell>
          <cell r="K8">
            <v>0</v>
          </cell>
          <cell r="M8">
            <v>0</v>
          </cell>
          <cell r="N8">
            <v>0</v>
          </cell>
          <cell r="P8">
            <v>0</v>
          </cell>
          <cell r="R8">
            <v>57.1</v>
          </cell>
        </row>
        <row r="9">
          <cell r="C9" t="str">
            <v>Control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M9">
            <v>0</v>
          </cell>
          <cell r="N9">
            <v>0</v>
          </cell>
          <cell r="P9">
            <v>0</v>
          </cell>
          <cell r="R9">
            <v>36.4</v>
          </cell>
        </row>
        <row r="10">
          <cell r="C10" t="str">
            <v>Control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M10">
            <v>0</v>
          </cell>
          <cell r="N10">
            <v>0</v>
          </cell>
          <cell r="P10">
            <v>0</v>
          </cell>
          <cell r="R10">
            <v>55.4</v>
          </cell>
        </row>
        <row r="11">
          <cell r="C11" t="str">
            <v>Control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>
            <v>0</v>
          </cell>
          <cell r="P11">
            <v>0</v>
          </cell>
          <cell r="R11">
            <v>57.3</v>
          </cell>
        </row>
        <row r="12">
          <cell r="C12" t="str">
            <v>Control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M12">
            <v>0</v>
          </cell>
          <cell r="N12">
            <v>0</v>
          </cell>
          <cell r="P12">
            <v>0</v>
          </cell>
          <cell r="R12">
            <v>63.6</v>
          </cell>
        </row>
        <row r="13">
          <cell r="C13" t="str">
            <v>Control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M13">
            <v>0</v>
          </cell>
          <cell r="N13">
            <v>1</v>
          </cell>
          <cell r="P13">
            <v>0</v>
          </cell>
          <cell r="R13">
            <v>80.400000000000006</v>
          </cell>
        </row>
        <row r="14">
          <cell r="C14" t="str">
            <v>Control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  <cell r="N14">
            <v>0</v>
          </cell>
          <cell r="P14">
            <v>0</v>
          </cell>
          <cell r="R14">
            <v>62.4</v>
          </cell>
        </row>
        <row r="15">
          <cell r="C15" t="str">
            <v>Control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  <cell r="N15">
            <v>0</v>
          </cell>
          <cell r="P15">
            <v>0</v>
          </cell>
          <cell r="R15">
            <v>82.4</v>
          </cell>
        </row>
        <row r="16">
          <cell r="C16" t="str">
            <v>Control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>
            <v>0</v>
          </cell>
          <cell r="P16">
            <v>0</v>
          </cell>
          <cell r="R16">
            <v>61.2</v>
          </cell>
        </row>
        <row r="17">
          <cell r="C17" t="str">
            <v>Control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M17">
            <v>0</v>
          </cell>
          <cell r="N17">
            <v>0</v>
          </cell>
          <cell r="P17">
            <v>0</v>
          </cell>
          <cell r="R17">
            <v>68.900000000000006</v>
          </cell>
        </row>
        <row r="18">
          <cell r="C18" t="str">
            <v>Control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M18">
            <v>0</v>
          </cell>
          <cell r="N18">
            <v>0</v>
          </cell>
          <cell r="P18">
            <v>0</v>
          </cell>
          <cell r="R18">
            <v>71.900000000000006</v>
          </cell>
        </row>
        <row r="19">
          <cell r="C19" t="str">
            <v>Control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>
            <v>0</v>
          </cell>
          <cell r="P19">
            <v>0</v>
          </cell>
          <cell r="R19">
            <v>50.5</v>
          </cell>
        </row>
        <row r="20">
          <cell r="C20" t="str">
            <v>Control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>
            <v>0</v>
          </cell>
          <cell r="P20">
            <v>0</v>
          </cell>
          <cell r="R20">
            <v>49.3</v>
          </cell>
        </row>
        <row r="21">
          <cell r="C21" t="str">
            <v>Control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2</v>
          </cell>
          <cell r="P21">
            <v>0</v>
          </cell>
          <cell r="R21">
            <v>60.9</v>
          </cell>
        </row>
        <row r="22">
          <cell r="C22" t="str">
            <v>Control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P22">
            <v>0</v>
          </cell>
          <cell r="R22">
            <v>62.7</v>
          </cell>
        </row>
        <row r="23">
          <cell r="C23" t="str">
            <v>Control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P23">
            <v>0</v>
          </cell>
          <cell r="R23">
            <v>52.7</v>
          </cell>
        </row>
        <row r="24">
          <cell r="C24" t="str">
            <v>Control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P24">
            <v>0</v>
          </cell>
          <cell r="R24">
            <v>54</v>
          </cell>
        </row>
        <row r="25">
          <cell r="C25" t="str">
            <v>Control</v>
          </cell>
          <cell r="H25">
            <v>1</v>
          </cell>
          <cell r="I25">
            <v>1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P25">
            <v>0</v>
          </cell>
          <cell r="R25">
            <v>51.6</v>
          </cell>
        </row>
        <row r="26">
          <cell r="C26" t="str">
            <v>Control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2</v>
          </cell>
          <cell r="P26">
            <v>0</v>
          </cell>
          <cell r="R26">
            <v>66.900000000000006</v>
          </cell>
        </row>
        <row r="27">
          <cell r="C27" t="str">
            <v>Control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>
            <v>0</v>
          </cell>
          <cell r="P27">
            <v>0</v>
          </cell>
          <cell r="R27">
            <v>67.400000000000006</v>
          </cell>
        </row>
        <row r="28">
          <cell r="C28" t="str">
            <v>Control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>
            <v>0</v>
          </cell>
          <cell r="P28">
            <v>0</v>
          </cell>
          <cell r="R28">
            <v>58.8</v>
          </cell>
        </row>
        <row r="29">
          <cell r="C29" t="str">
            <v>Control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>
            <v>0</v>
          </cell>
          <cell r="P29">
            <v>0</v>
          </cell>
          <cell r="R29">
            <v>73.8</v>
          </cell>
        </row>
        <row r="30">
          <cell r="C30" t="str">
            <v>Control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P30">
            <v>0</v>
          </cell>
          <cell r="R30">
            <v>60.1</v>
          </cell>
        </row>
        <row r="31">
          <cell r="C31" t="str">
            <v>Control</v>
          </cell>
          <cell r="H31">
            <v>1</v>
          </cell>
          <cell r="I31">
            <v>1</v>
          </cell>
          <cell r="J31">
            <v>1</v>
          </cell>
          <cell r="K31">
            <v>0</v>
          </cell>
          <cell r="M31">
            <v>0</v>
          </cell>
          <cell r="N31">
            <v>0</v>
          </cell>
          <cell r="P31">
            <v>0</v>
          </cell>
          <cell r="R31">
            <v>41</v>
          </cell>
        </row>
        <row r="32">
          <cell r="C32" t="str">
            <v>Control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P32">
            <v>0</v>
          </cell>
          <cell r="R32">
            <v>80.3</v>
          </cell>
        </row>
        <row r="33">
          <cell r="C33" t="str">
            <v>Control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P33">
            <v>0</v>
          </cell>
          <cell r="R33">
            <v>67.599999999999994</v>
          </cell>
        </row>
        <row r="34">
          <cell r="C34" t="str">
            <v>Control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  <cell r="N34">
            <v>0</v>
          </cell>
          <cell r="P34">
            <v>0</v>
          </cell>
          <cell r="R34">
            <v>64</v>
          </cell>
        </row>
        <row r="35">
          <cell r="C35" t="str">
            <v>Control</v>
          </cell>
          <cell r="H35">
            <v>1</v>
          </cell>
          <cell r="I35">
            <v>1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P35">
            <v>0</v>
          </cell>
          <cell r="R35">
            <v>27.2</v>
          </cell>
        </row>
        <row r="36">
          <cell r="C36" t="str">
            <v>Control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P36">
            <v>0</v>
          </cell>
          <cell r="R36">
            <v>85.4</v>
          </cell>
        </row>
        <row r="37">
          <cell r="C37" t="str">
            <v>Control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P37">
            <v>0</v>
          </cell>
          <cell r="R37">
            <v>75.900000000000006</v>
          </cell>
        </row>
        <row r="38">
          <cell r="C38" t="str">
            <v>Control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1</v>
          </cell>
          <cell r="P38">
            <v>0</v>
          </cell>
          <cell r="R38">
            <v>34.799999999999997</v>
          </cell>
        </row>
        <row r="39">
          <cell r="C39" t="str">
            <v>Control</v>
          </cell>
          <cell r="H39">
            <v>1</v>
          </cell>
          <cell r="I39">
            <v>1</v>
          </cell>
          <cell r="J39">
            <v>1</v>
          </cell>
          <cell r="K39">
            <v>0</v>
          </cell>
          <cell r="M39">
            <v>0</v>
          </cell>
          <cell r="N39">
            <v>3</v>
          </cell>
          <cell r="P39">
            <v>0</v>
          </cell>
          <cell r="R39">
            <v>48.9</v>
          </cell>
        </row>
        <row r="40">
          <cell r="C40" t="str">
            <v>Control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M40">
            <v>0</v>
          </cell>
          <cell r="N40">
            <v>0</v>
          </cell>
          <cell r="P40">
            <v>0</v>
          </cell>
          <cell r="R40">
            <v>41.5</v>
          </cell>
        </row>
        <row r="41">
          <cell r="C41" t="str">
            <v>Control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M41">
            <v>0</v>
          </cell>
          <cell r="N41">
            <v>0</v>
          </cell>
          <cell r="P41">
            <v>0</v>
          </cell>
          <cell r="R41">
            <v>51.5</v>
          </cell>
        </row>
        <row r="42">
          <cell r="C42" t="str">
            <v>Control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P42">
            <v>0</v>
          </cell>
          <cell r="R42">
            <v>53.2</v>
          </cell>
        </row>
        <row r="43">
          <cell r="C43" t="str">
            <v>Control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M43">
            <v>0</v>
          </cell>
          <cell r="N43">
            <v>0</v>
          </cell>
          <cell r="P43">
            <v>0</v>
          </cell>
          <cell r="R43">
            <v>55.6</v>
          </cell>
        </row>
        <row r="44">
          <cell r="C44" t="str">
            <v>Control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M44">
            <v>0</v>
          </cell>
          <cell r="N44">
            <v>0</v>
          </cell>
          <cell r="P44">
            <v>0</v>
          </cell>
          <cell r="R44">
            <v>73</v>
          </cell>
        </row>
        <row r="45">
          <cell r="C45" t="str">
            <v>Control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P45">
            <v>0</v>
          </cell>
          <cell r="R45">
            <v>65</v>
          </cell>
        </row>
        <row r="46">
          <cell r="C46" t="str">
            <v>Control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M46">
            <v>0</v>
          </cell>
          <cell r="N46">
            <v>4</v>
          </cell>
          <cell r="P46">
            <v>0</v>
          </cell>
          <cell r="R46">
            <v>56.3</v>
          </cell>
        </row>
        <row r="47">
          <cell r="C47" t="str">
            <v>Control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P47">
            <v>0</v>
          </cell>
          <cell r="R47">
            <v>62.4</v>
          </cell>
        </row>
        <row r="48">
          <cell r="C48" t="str">
            <v>Control</v>
          </cell>
          <cell r="H48">
            <v>1</v>
          </cell>
          <cell r="I48">
            <v>1</v>
          </cell>
          <cell r="J48">
            <v>1</v>
          </cell>
          <cell r="K48">
            <v>0</v>
          </cell>
          <cell r="M48">
            <v>0</v>
          </cell>
          <cell r="N48">
            <v>0</v>
          </cell>
          <cell r="P48">
            <v>0</v>
          </cell>
          <cell r="R48">
            <v>58.1</v>
          </cell>
        </row>
        <row r="49">
          <cell r="C49" t="str">
            <v>Control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M49">
            <v>0</v>
          </cell>
          <cell r="N49">
            <v>0</v>
          </cell>
          <cell r="P49">
            <v>0</v>
          </cell>
          <cell r="R49">
            <v>80.8</v>
          </cell>
        </row>
        <row r="50">
          <cell r="C50" t="str">
            <v>Control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P50">
            <v>0</v>
          </cell>
          <cell r="R50">
            <v>42.9</v>
          </cell>
        </row>
        <row r="51">
          <cell r="C51" t="str">
            <v>Control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P51">
            <v>0</v>
          </cell>
          <cell r="R51">
            <v>52.7</v>
          </cell>
        </row>
        <row r="52">
          <cell r="C52" t="str">
            <v>Control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P52">
            <v>0</v>
          </cell>
          <cell r="R52">
            <v>46.9</v>
          </cell>
        </row>
        <row r="53">
          <cell r="C53" t="str">
            <v>Control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P53">
            <v>0</v>
          </cell>
          <cell r="R53">
            <v>63</v>
          </cell>
        </row>
        <row r="54">
          <cell r="C54" t="str">
            <v>Control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P54">
            <v>0</v>
          </cell>
          <cell r="R54">
            <v>53.6</v>
          </cell>
        </row>
        <row r="55">
          <cell r="C55" t="str">
            <v>Control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M55">
            <v>0</v>
          </cell>
          <cell r="N55">
            <v>0</v>
          </cell>
          <cell r="P55">
            <v>0</v>
          </cell>
          <cell r="R55">
            <v>49.6</v>
          </cell>
        </row>
        <row r="56">
          <cell r="C56" t="str">
            <v>Control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N56">
            <v>0</v>
          </cell>
          <cell r="P56">
            <v>0</v>
          </cell>
          <cell r="R56">
            <v>54</v>
          </cell>
        </row>
        <row r="57">
          <cell r="C57" t="str">
            <v>Control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M57">
            <v>0</v>
          </cell>
          <cell r="N57">
            <v>2</v>
          </cell>
          <cell r="P57">
            <v>0</v>
          </cell>
          <cell r="R57">
            <v>50</v>
          </cell>
        </row>
        <row r="58">
          <cell r="C58" t="str">
            <v>Control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0</v>
          </cell>
          <cell r="P58">
            <v>0</v>
          </cell>
          <cell r="R58">
            <v>48.1</v>
          </cell>
        </row>
        <row r="59">
          <cell r="C59" t="str">
            <v>Control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P59">
            <v>0</v>
          </cell>
          <cell r="R59">
            <v>49.6</v>
          </cell>
        </row>
        <row r="60">
          <cell r="C60" t="str">
            <v>Control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2</v>
          </cell>
          <cell r="P60">
            <v>0</v>
          </cell>
          <cell r="R60">
            <v>48.9</v>
          </cell>
        </row>
        <row r="61">
          <cell r="C61" t="str">
            <v>Control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M61">
            <v>240.42</v>
          </cell>
          <cell r="N61">
            <v>0</v>
          </cell>
          <cell r="P61">
            <v>0</v>
          </cell>
          <cell r="Q61">
            <v>16</v>
          </cell>
          <cell r="R61">
            <v>56.5</v>
          </cell>
        </row>
        <row r="62">
          <cell r="C62" t="str">
            <v>Control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  <cell r="P62">
            <v>0</v>
          </cell>
          <cell r="R62">
            <v>53.7</v>
          </cell>
        </row>
        <row r="63">
          <cell r="C63" t="str">
            <v>Control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P63">
            <v>0</v>
          </cell>
          <cell r="R63">
            <v>62.2</v>
          </cell>
        </row>
        <row r="64">
          <cell r="C64" t="str">
            <v>Control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P64">
            <v>0</v>
          </cell>
          <cell r="R64">
            <v>50.2</v>
          </cell>
        </row>
        <row r="65">
          <cell r="C65" t="str">
            <v>Control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M65">
            <v>0</v>
          </cell>
          <cell r="N65">
            <v>0</v>
          </cell>
          <cell r="P65">
            <v>0</v>
          </cell>
          <cell r="R65">
            <v>74.3</v>
          </cell>
        </row>
        <row r="66">
          <cell r="C66" t="str">
            <v>Control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M66">
            <v>0</v>
          </cell>
          <cell r="N66">
            <v>0</v>
          </cell>
          <cell r="P66">
            <v>0</v>
          </cell>
          <cell r="R66">
            <v>58</v>
          </cell>
        </row>
        <row r="67">
          <cell r="C67" t="str">
            <v>Control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>
            <v>0</v>
          </cell>
          <cell r="N67">
            <v>0</v>
          </cell>
          <cell r="P67">
            <v>0</v>
          </cell>
          <cell r="R67">
            <v>46.7</v>
          </cell>
        </row>
        <row r="68">
          <cell r="C68" t="str">
            <v>Control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  <cell r="N68">
            <v>1</v>
          </cell>
          <cell r="P68">
            <v>0</v>
          </cell>
          <cell r="R68">
            <v>49.6</v>
          </cell>
        </row>
        <row r="69">
          <cell r="C69" t="str">
            <v>Control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  <cell r="N69">
            <v>0</v>
          </cell>
          <cell r="P69">
            <v>0</v>
          </cell>
          <cell r="R69">
            <v>60.4</v>
          </cell>
        </row>
        <row r="70">
          <cell r="C70" t="str">
            <v>Control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M70">
            <v>0</v>
          </cell>
          <cell r="N70">
            <v>0</v>
          </cell>
          <cell r="P70">
            <v>0</v>
          </cell>
          <cell r="R70">
            <v>55.3</v>
          </cell>
        </row>
        <row r="71">
          <cell r="C71" t="str">
            <v>Control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0</v>
          </cell>
          <cell r="N71">
            <v>0</v>
          </cell>
          <cell r="P71">
            <v>0</v>
          </cell>
          <cell r="R71">
            <v>56.2</v>
          </cell>
        </row>
        <row r="72">
          <cell r="C72" t="str">
            <v>Control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P72">
            <v>0</v>
          </cell>
          <cell r="R72">
            <v>29.4</v>
          </cell>
        </row>
        <row r="73">
          <cell r="C73" t="str">
            <v>Control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M73">
            <v>0</v>
          </cell>
          <cell r="N73">
            <v>0</v>
          </cell>
          <cell r="P73">
            <v>0</v>
          </cell>
          <cell r="R73">
            <v>54.2</v>
          </cell>
        </row>
        <row r="74">
          <cell r="C74" t="str">
            <v>Control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P74">
            <v>0</v>
          </cell>
          <cell r="R74">
            <v>46.4</v>
          </cell>
        </row>
        <row r="75">
          <cell r="C75" t="str">
            <v>Control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0</v>
          </cell>
          <cell r="N75">
            <v>0</v>
          </cell>
          <cell r="P75">
            <v>0</v>
          </cell>
          <cell r="R75">
            <v>54.5</v>
          </cell>
        </row>
        <row r="76">
          <cell r="C76" t="str">
            <v>Control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P76">
            <v>0</v>
          </cell>
          <cell r="R76">
            <v>58.5</v>
          </cell>
        </row>
        <row r="77">
          <cell r="C77" t="str">
            <v>Control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M77">
            <v>0</v>
          </cell>
          <cell r="N77">
            <v>0</v>
          </cell>
          <cell r="P77">
            <v>0</v>
          </cell>
          <cell r="R77">
            <v>75.900000000000006</v>
          </cell>
        </row>
        <row r="78">
          <cell r="C78" t="str">
            <v>Control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M78">
            <v>0</v>
          </cell>
          <cell r="N78">
            <v>1</v>
          </cell>
          <cell r="P78">
            <v>0</v>
          </cell>
          <cell r="R78">
            <v>84.9</v>
          </cell>
        </row>
        <row r="79">
          <cell r="C79" t="str">
            <v>Control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M79">
            <v>0</v>
          </cell>
          <cell r="N79">
            <v>2</v>
          </cell>
          <cell r="P79">
            <v>0</v>
          </cell>
          <cell r="R79">
            <v>48.4</v>
          </cell>
        </row>
        <row r="80">
          <cell r="C80" t="str">
            <v>Control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M80">
            <v>457.51</v>
          </cell>
          <cell r="N80">
            <v>0</v>
          </cell>
          <cell r="P80">
            <v>0</v>
          </cell>
          <cell r="Q80">
            <v>7</v>
          </cell>
          <cell r="R80">
            <v>38</v>
          </cell>
        </row>
        <row r="81">
          <cell r="C81" t="str">
            <v>Control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M81">
            <v>0</v>
          </cell>
          <cell r="N81">
            <v>0</v>
          </cell>
          <cell r="P81">
            <v>0</v>
          </cell>
          <cell r="R81">
            <v>44.2</v>
          </cell>
        </row>
        <row r="82">
          <cell r="C82" t="str">
            <v>Control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M82">
            <v>0</v>
          </cell>
          <cell r="N82">
            <v>0</v>
          </cell>
          <cell r="P82">
            <v>0</v>
          </cell>
          <cell r="R82">
            <v>81.2</v>
          </cell>
        </row>
        <row r="83">
          <cell r="C83" t="str">
            <v>Control</v>
          </cell>
          <cell r="H83">
            <v>1</v>
          </cell>
          <cell r="I83">
            <v>1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P83">
            <v>0</v>
          </cell>
          <cell r="R83">
            <v>63.8</v>
          </cell>
        </row>
        <row r="84">
          <cell r="C84" t="str">
            <v>Control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M84">
            <v>0</v>
          </cell>
          <cell r="N84">
            <v>0</v>
          </cell>
          <cell r="P84">
            <v>0</v>
          </cell>
          <cell r="R84">
            <v>64.7</v>
          </cell>
        </row>
        <row r="85">
          <cell r="C85" t="str">
            <v>Control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M85">
            <v>0</v>
          </cell>
          <cell r="N85">
            <v>0</v>
          </cell>
          <cell r="P85">
            <v>0</v>
          </cell>
          <cell r="R85">
            <v>60.4</v>
          </cell>
        </row>
        <row r="86">
          <cell r="C86" t="str">
            <v>Control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M86">
            <v>0</v>
          </cell>
          <cell r="N86">
            <v>0</v>
          </cell>
          <cell r="P86">
            <v>0</v>
          </cell>
          <cell r="R86">
            <v>66.599999999999994</v>
          </cell>
        </row>
        <row r="87">
          <cell r="C87" t="str">
            <v>Control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M87">
            <v>0</v>
          </cell>
          <cell r="N87">
            <v>0</v>
          </cell>
          <cell r="P87">
            <v>0</v>
          </cell>
          <cell r="R87">
            <v>50.9</v>
          </cell>
        </row>
        <row r="88">
          <cell r="C88" t="str">
            <v>Control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M88">
            <v>0</v>
          </cell>
          <cell r="N88">
            <v>0</v>
          </cell>
          <cell r="P88">
            <v>0</v>
          </cell>
          <cell r="R88">
            <v>51</v>
          </cell>
        </row>
        <row r="89">
          <cell r="C89" t="str">
            <v>Control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M89">
            <v>0</v>
          </cell>
          <cell r="N89">
            <v>0</v>
          </cell>
          <cell r="P89">
            <v>0</v>
          </cell>
          <cell r="R89">
            <v>65.8</v>
          </cell>
        </row>
        <row r="90">
          <cell r="C90" t="str">
            <v>Control</v>
          </cell>
          <cell r="H90">
            <v>1</v>
          </cell>
          <cell r="I90">
            <v>0</v>
          </cell>
          <cell r="J90">
            <v>0</v>
          </cell>
          <cell r="K90">
            <v>0</v>
          </cell>
          <cell r="M90">
            <v>0</v>
          </cell>
          <cell r="N90">
            <v>0</v>
          </cell>
          <cell r="P90">
            <v>0</v>
          </cell>
          <cell r="R90">
            <v>61.8</v>
          </cell>
        </row>
        <row r="91">
          <cell r="C91" t="str">
            <v>Control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M91">
            <v>0</v>
          </cell>
          <cell r="N91">
            <v>0</v>
          </cell>
          <cell r="P91">
            <v>0</v>
          </cell>
          <cell r="R91">
            <v>54.5</v>
          </cell>
        </row>
        <row r="92">
          <cell r="C92" t="str">
            <v>Control</v>
          </cell>
          <cell r="H92">
            <v>1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  <cell r="N92">
            <v>0</v>
          </cell>
          <cell r="P92">
            <v>0</v>
          </cell>
          <cell r="R92">
            <v>72.2</v>
          </cell>
        </row>
        <row r="93">
          <cell r="C93" t="str">
            <v>Control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M93">
            <v>0</v>
          </cell>
          <cell r="N93">
            <v>0</v>
          </cell>
          <cell r="P93">
            <v>0</v>
          </cell>
          <cell r="R93">
            <v>42.3</v>
          </cell>
        </row>
        <row r="94">
          <cell r="C94" t="str">
            <v>Control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M94">
            <v>0</v>
          </cell>
          <cell r="N94">
            <v>0</v>
          </cell>
          <cell r="P94">
            <v>0</v>
          </cell>
          <cell r="R94">
            <v>76.2</v>
          </cell>
        </row>
        <row r="95">
          <cell r="C95" t="str">
            <v>Control</v>
          </cell>
          <cell r="H95">
            <v>1</v>
          </cell>
          <cell r="I95">
            <v>1</v>
          </cell>
          <cell r="J95">
            <v>1</v>
          </cell>
          <cell r="K95">
            <v>0</v>
          </cell>
          <cell r="M95">
            <v>0</v>
          </cell>
          <cell r="N95">
            <v>1</v>
          </cell>
          <cell r="P95">
            <v>0</v>
          </cell>
          <cell r="R95">
            <v>37.4</v>
          </cell>
        </row>
        <row r="96">
          <cell r="C96" t="str">
            <v>Control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M96">
            <v>0</v>
          </cell>
          <cell r="N96">
            <v>0</v>
          </cell>
          <cell r="P96">
            <v>0</v>
          </cell>
          <cell r="R96">
            <v>84.2</v>
          </cell>
        </row>
        <row r="97">
          <cell r="C97" t="str">
            <v>Control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  <cell r="N97">
            <v>0</v>
          </cell>
          <cell r="P97">
            <v>0</v>
          </cell>
          <cell r="R97">
            <v>68</v>
          </cell>
        </row>
        <row r="98">
          <cell r="C98" t="str">
            <v>Control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M98">
            <v>0</v>
          </cell>
          <cell r="N98">
            <v>0</v>
          </cell>
          <cell r="P98">
            <v>0</v>
          </cell>
          <cell r="R98">
            <v>53.5</v>
          </cell>
        </row>
        <row r="99">
          <cell r="C99" t="str">
            <v>Control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M99">
            <v>0</v>
          </cell>
          <cell r="N99">
            <v>0</v>
          </cell>
          <cell r="P99">
            <v>0</v>
          </cell>
          <cell r="R99">
            <v>63.2</v>
          </cell>
        </row>
        <row r="100">
          <cell r="C100" t="str">
            <v>Control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M100">
            <v>363.32</v>
          </cell>
          <cell r="N100">
            <v>0</v>
          </cell>
          <cell r="P100">
            <v>0</v>
          </cell>
          <cell r="Q100">
            <v>9</v>
          </cell>
          <cell r="R100">
            <v>55.9</v>
          </cell>
        </row>
        <row r="101">
          <cell r="C101" t="str">
            <v>Control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  <cell r="M101">
            <v>0</v>
          </cell>
          <cell r="N101">
            <v>0</v>
          </cell>
          <cell r="P101">
            <v>0</v>
          </cell>
          <cell r="R101">
            <v>63.5</v>
          </cell>
        </row>
        <row r="102">
          <cell r="C102" t="str">
            <v>Control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M102">
            <v>0</v>
          </cell>
          <cell r="N102">
            <v>0</v>
          </cell>
          <cell r="P102">
            <v>0</v>
          </cell>
          <cell r="R102">
            <v>51.5</v>
          </cell>
        </row>
        <row r="103">
          <cell r="C103" t="str">
            <v>Control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M103">
            <v>0</v>
          </cell>
          <cell r="N103">
            <v>0</v>
          </cell>
          <cell r="P103">
            <v>0</v>
          </cell>
          <cell r="R103">
            <v>74.400000000000006</v>
          </cell>
        </row>
        <row r="104">
          <cell r="C104" t="str">
            <v>Control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M104">
            <v>1496.19</v>
          </cell>
          <cell r="N104">
            <v>0</v>
          </cell>
          <cell r="P104">
            <v>0</v>
          </cell>
          <cell r="Q104">
            <v>13</v>
          </cell>
          <cell r="R104">
            <v>60.2</v>
          </cell>
        </row>
        <row r="105">
          <cell r="C105" t="str">
            <v>Control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M105">
            <v>0</v>
          </cell>
          <cell r="N105">
            <v>1</v>
          </cell>
          <cell r="P105">
            <v>0</v>
          </cell>
          <cell r="R105">
            <v>67.2</v>
          </cell>
        </row>
        <row r="106">
          <cell r="C106" t="str">
            <v>Control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R106">
            <v>79.599999999999994</v>
          </cell>
        </row>
        <row r="107">
          <cell r="C107" t="str">
            <v>Control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M107">
            <v>1496.19</v>
          </cell>
          <cell r="N107">
            <v>0</v>
          </cell>
          <cell r="P107">
            <v>0</v>
          </cell>
          <cell r="Q107">
            <v>6</v>
          </cell>
          <cell r="R107">
            <v>61</v>
          </cell>
        </row>
        <row r="108">
          <cell r="C108" t="str">
            <v>Control</v>
          </cell>
          <cell r="H108">
            <v>1</v>
          </cell>
          <cell r="I108">
            <v>1</v>
          </cell>
          <cell r="J108">
            <v>1</v>
          </cell>
          <cell r="K108">
            <v>0</v>
          </cell>
          <cell r="M108">
            <v>0</v>
          </cell>
          <cell r="N108">
            <v>4</v>
          </cell>
          <cell r="P108">
            <v>0</v>
          </cell>
          <cell r="R108">
            <v>51.1</v>
          </cell>
        </row>
        <row r="109">
          <cell r="C109" t="str">
            <v>Control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M109">
            <v>0</v>
          </cell>
          <cell r="N109">
            <v>0</v>
          </cell>
          <cell r="P109">
            <v>0</v>
          </cell>
          <cell r="R109">
            <v>92.1</v>
          </cell>
        </row>
        <row r="110">
          <cell r="C110" t="str">
            <v>Control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M110">
            <v>0</v>
          </cell>
          <cell r="N110">
            <v>0</v>
          </cell>
          <cell r="P110">
            <v>0</v>
          </cell>
          <cell r="R110">
            <v>82.1</v>
          </cell>
        </row>
        <row r="111">
          <cell r="C111" t="str">
            <v>Control</v>
          </cell>
          <cell r="H111">
            <v>1</v>
          </cell>
          <cell r="I111">
            <v>0</v>
          </cell>
          <cell r="J111">
            <v>0</v>
          </cell>
          <cell r="K111">
            <v>0</v>
          </cell>
          <cell r="M111">
            <v>0</v>
          </cell>
          <cell r="N111">
            <v>1</v>
          </cell>
          <cell r="P111">
            <v>0</v>
          </cell>
          <cell r="R111">
            <v>74</v>
          </cell>
        </row>
        <row r="112">
          <cell r="C112" t="str">
            <v>Control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M112">
            <v>0</v>
          </cell>
          <cell r="N112">
            <v>0</v>
          </cell>
          <cell r="P112">
            <v>0</v>
          </cell>
          <cell r="R112">
            <v>63.4</v>
          </cell>
        </row>
        <row r="113">
          <cell r="C113" t="str">
            <v>Control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M113">
            <v>0</v>
          </cell>
          <cell r="N113">
            <v>0</v>
          </cell>
          <cell r="P113">
            <v>0</v>
          </cell>
          <cell r="R113">
            <v>53.2</v>
          </cell>
        </row>
        <row r="114">
          <cell r="C114" t="str">
            <v>Control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M114">
            <v>0</v>
          </cell>
          <cell r="N114">
            <v>0</v>
          </cell>
          <cell r="P114">
            <v>0</v>
          </cell>
          <cell r="R114">
            <v>48.1</v>
          </cell>
        </row>
        <row r="115">
          <cell r="C115" t="str">
            <v>Control</v>
          </cell>
          <cell r="H115">
            <v>1</v>
          </cell>
          <cell r="I115">
            <v>1</v>
          </cell>
          <cell r="J115">
            <v>0</v>
          </cell>
          <cell r="K115">
            <v>0</v>
          </cell>
          <cell r="M115">
            <v>0</v>
          </cell>
          <cell r="N115">
            <v>0</v>
          </cell>
          <cell r="P115">
            <v>0</v>
          </cell>
          <cell r="R115">
            <v>61.5</v>
          </cell>
        </row>
        <row r="116">
          <cell r="C116" t="str">
            <v>Control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  <cell r="M116">
            <v>0</v>
          </cell>
          <cell r="N116">
            <v>0</v>
          </cell>
          <cell r="P116">
            <v>0</v>
          </cell>
          <cell r="R116">
            <v>63.2</v>
          </cell>
        </row>
        <row r="117">
          <cell r="C117" t="str">
            <v>Control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M117">
            <v>0</v>
          </cell>
          <cell r="N117">
            <v>0</v>
          </cell>
          <cell r="P117">
            <v>0</v>
          </cell>
          <cell r="R117">
            <v>71.900000000000006</v>
          </cell>
        </row>
        <row r="118">
          <cell r="C118" t="str">
            <v>Control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M118">
            <v>0</v>
          </cell>
          <cell r="N118">
            <v>0</v>
          </cell>
          <cell r="P118">
            <v>0</v>
          </cell>
          <cell r="R118">
            <v>62.7</v>
          </cell>
        </row>
        <row r="119">
          <cell r="C119" t="str">
            <v>Control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M119">
            <v>0</v>
          </cell>
          <cell r="N119">
            <v>0</v>
          </cell>
          <cell r="P119">
            <v>0</v>
          </cell>
          <cell r="R119">
            <v>51.5</v>
          </cell>
        </row>
        <row r="120">
          <cell r="C120" t="str">
            <v>Control</v>
          </cell>
          <cell r="H120">
            <v>1</v>
          </cell>
          <cell r="I120">
            <v>1</v>
          </cell>
          <cell r="J120">
            <v>1</v>
          </cell>
          <cell r="K120">
            <v>0</v>
          </cell>
          <cell r="M120">
            <v>0</v>
          </cell>
          <cell r="N120">
            <v>0</v>
          </cell>
          <cell r="P120">
            <v>0</v>
          </cell>
          <cell r="R120">
            <v>39.1</v>
          </cell>
        </row>
        <row r="121">
          <cell r="C121" t="str">
            <v>Control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  <cell r="M121">
            <v>0</v>
          </cell>
          <cell r="N121">
            <v>0</v>
          </cell>
          <cell r="P121">
            <v>0</v>
          </cell>
          <cell r="R121">
            <v>43.8</v>
          </cell>
        </row>
        <row r="122">
          <cell r="C122" t="str">
            <v>Control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M122">
            <v>0</v>
          </cell>
          <cell r="N122">
            <v>0</v>
          </cell>
          <cell r="P122">
            <v>0</v>
          </cell>
          <cell r="R122">
            <v>59.9</v>
          </cell>
        </row>
        <row r="123">
          <cell r="C123" t="str">
            <v>Control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M123">
            <v>0</v>
          </cell>
          <cell r="N123">
            <v>0</v>
          </cell>
          <cell r="P123">
            <v>0</v>
          </cell>
          <cell r="R123">
            <v>71.400000000000006</v>
          </cell>
        </row>
        <row r="124">
          <cell r="C124" t="str">
            <v>Control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M124">
            <v>0</v>
          </cell>
          <cell r="N124">
            <v>0</v>
          </cell>
          <cell r="P124">
            <v>0</v>
          </cell>
          <cell r="R124">
            <v>36.1</v>
          </cell>
        </row>
        <row r="125">
          <cell r="C125" t="str">
            <v>Control</v>
          </cell>
          <cell r="H125">
            <v>1</v>
          </cell>
          <cell r="I125">
            <v>1</v>
          </cell>
          <cell r="J125">
            <v>0</v>
          </cell>
          <cell r="K125">
            <v>0</v>
          </cell>
          <cell r="M125">
            <v>0</v>
          </cell>
          <cell r="N125">
            <v>0</v>
          </cell>
          <cell r="P125">
            <v>0</v>
          </cell>
          <cell r="R125">
            <v>47.9</v>
          </cell>
        </row>
        <row r="126">
          <cell r="C126" t="str">
            <v>Control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M126">
            <v>0</v>
          </cell>
          <cell r="N126">
            <v>0</v>
          </cell>
          <cell r="P126">
            <v>0</v>
          </cell>
          <cell r="R126">
            <v>62.5</v>
          </cell>
        </row>
        <row r="127">
          <cell r="C127" t="str">
            <v>Control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M127">
            <v>0</v>
          </cell>
          <cell r="N127">
            <v>0</v>
          </cell>
          <cell r="P127">
            <v>0</v>
          </cell>
          <cell r="R127">
            <v>56.9</v>
          </cell>
        </row>
        <row r="128">
          <cell r="C128" t="str">
            <v>Control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M128">
            <v>0</v>
          </cell>
          <cell r="N128">
            <v>0</v>
          </cell>
          <cell r="P128">
            <v>0</v>
          </cell>
          <cell r="R128">
            <v>64.7</v>
          </cell>
        </row>
        <row r="129">
          <cell r="C129" t="str">
            <v>Control</v>
          </cell>
          <cell r="H129">
            <v>1</v>
          </cell>
          <cell r="I129">
            <v>1</v>
          </cell>
          <cell r="J129">
            <v>1</v>
          </cell>
          <cell r="K129">
            <v>0</v>
          </cell>
          <cell r="M129">
            <v>0</v>
          </cell>
          <cell r="N129">
            <v>0</v>
          </cell>
          <cell r="P129">
            <v>0</v>
          </cell>
          <cell r="R129">
            <v>64</v>
          </cell>
        </row>
        <row r="130">
          <cell r="C130" t="str">
            <v>Control</v>
          </cell>
          <cell r="H130">
            <v>1</v>
          </cell>
          <cell r="I130">
            <v>1</v>
          </cell>
          <cell r="J130">
            <v>1</v>
          </cell>
          <cell r="K130">
            <v>0</v>
          </cell>
          <cell r="M130">
            <v>0</v>
          </cell>
          <cell r="N130">
            <v>0</v>
          </cell>
          <cell r="P130">
            <v>0</v>
          </cell>
          <cell r="R130">
            <v>75.2</v>
          </cell>
        </row>
        <row r="131">
          <cell r="C131" t="str">
            <v>Control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M131">
            <v>0</v>
          </cell>
          <cell r="N131">
            <v>1</v>
          </cell>
          <cell r="P131">
            <v>0</v>
          </cell>
          <cell r="R131">
            <v>79</v>
          </cell>
        </row>
        <row r="132">
          <cell r="C132" t="str">
            <v>Control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R132">
            <v>33</v>
          </cell>
        </row>
        <row r="133">
          <cell r="C133" t="str">
            <v>Control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M133">
            <v>0</v>
          </cell>
          <cell r="N133">
            <v>0</v>
          </cell>
          <cell r="P133">
            <v>0</v>
          </cell>
          <cell r="R133">
            <v>67.900000000000006</v>
          </cell>
        </row>
        <row r="134">
          <cell r="C134" t="str">
            <v>Control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M134">
            <v>0</v>
          </cell>
          <cell r="N134">
            <v>0</v>
          </cell>
          <cell r="P134">
            <v>0</v>
          </cell>
          <cell r="R134">
            <v>42.2</v>
          </cell>
        </row>
        <row r="135">
          <cell r="C135" t="str">
            <v>Control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M135">
            <v>0</v>
          </cell>
          <cell r="N135">
            <v>0</v>
          </cell>
          <cell r="P135">
            <v>0</v>
          </cell>
          <cell r="R135">
            <v>43.4</v>
          </cell>
        </row>
        <row r="136">
          <cell r="C136" t="str">
            <v>Control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M136">
            <v>0</v>
          </cell>
          <cell r="N136">
            <v>0</v>
          </cell>
          <cell r="P136">
            <v>0</v>
          </cell>
          <cell r="R136">
            <v>54.4</v>
          </cell>
        </row>
        <row r="137">
          <cell r="C137" t="str">
            <v>Control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M137">
            <v>0</v>
          </cell>
          <cell r="N137">
            <v>0</v>
          </cell>
          <cell r="P137">
            <v>0</v>
          </cell>
          <cell r="R137">
            <v>45.7</v>
          </cell>
        </row>
        <row r="138">
          <cell r="C138" t="str">
            <v>Control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M138">
            <v>0</v>
          </cell>
          <cell r="N138">
            <v>3</v>
          </cell>
          <cell r="P138">
            <v>0</v>
          </cell>
          <cell r="R138">
            <v>32</v>
          </cell>
        </row>
        <row r="139">
          <cell r="C139" t="str">
            <v>Control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M139">
            <v>0</v>
          </cell>
          <cell r="N139">
            <v>0</v>
          </cell>
          <cell r="P139">
            <v>0</v>
          </cell>
          <cell r="R139">
            <v>70.900000000000006</v>
          </cell>
        </row>
        <row r="140">
          <cell r="C140" t="str">
            <v>Control</v>
          </cell>
          <cell r="H140">
            <v>1</v>
          </cell>
          <cell r="I140">
            <v>1</v>
          </cell>
          <cell r="J140">
            <v>1</v>
          </cell>
          <cell r="K140">
            <v>0</v>
          </cell>
          <cell r="M140">
            <v>0</v>
          </cell>
          <cell r="N140">
            <v>0</v>
          </cell>
          <cell r="P140">
            <v>0</v>
          </cell>
          <cell r="R140">
            <v>59.1</v>
          </cell>
        </row>
        <row r="141">
          <cell r="C141" t="str">
            <v>Control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M141">
            <v>0</v>
          </cell>
          <cell r="N141">
            <v>0</v>
          </cell>
          <cell r="P141">
            <v>0</v>
          </cell>
          <cell r="R141">
            <v>62.4</v>
          </cell>
        </row>
        <row r="142">
          <cell r="C142" t="str">
            <v>Control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M142">
            <v>0</v>
          </cell>
          <cell r="N142">
            <v>0</v>
          </cell>
          <cell r="P142">
            <v>0</v>
          </cell>
          <cell r="R142">
            <v>49.6</v>
          </cell>
        </row>
        <row r="143">
          <cell r="C143" t="str">
            <v>Control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M143">
            <v>404.4</v>
          </cell>
          <cell r="N143">
            <v>0</v>
          </cell>
          <cell r="P143">
            <v>0</v>
          </cell>
          <cell r="Q143">
            <v>9</v>
          </cell>
          <cell r="R143">
            <v>80.599999999999994</v>
          </cell>
        </row>
        <row r="144">
          <cell r="C144" t="str">
            <v>Control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M144">
            <v>0</v>
          </cell>
          <cell r="N144">
            <v>0</v>
          </cell>
          <cell r="P144">
            <v>0</v>
          </cell>
          <cell r="R144">
            <v>47.9</v>
          </cell>
        </row>
        <row r="145">
          <cell r="C145" t="str">
            <v>Control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M145">
            <v>0</v>
          </cell>
          <cell r="N145">
            <v>0</v>
          </cell>
          <cell r="P145">
            <v>0</v>
          </cell>
          <cell r="R145">
            <v>54.8</v>
          </cell>
        </row>
        <row r="146">
          <cell r="C146" t="str">
            <v>Control</v>
          </cell>
          <cell r="H146">
            <v>1</v>
          </cell>
          <cell r="I146">
            <v>0</v>
          </cell>
          <cell r="J146">
            <v>0</v>
          </cell>
          <cell r="K146">
            <v>0</v>
          </cell>
          <cell r="M146">
            <v>0</v>
          </cell>
          <cell r="N146">
            <v>1</v>
          </cell>
          <cell r="P146">
            <v>0</v>
          </cell>
          <cell r="R146">
            <v>53.9</v>
          </cell>
        </row>
        <row r="147">
          <cell r="C147" t="str">
            <v>Control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M147">
            <v>0</v>
          </cell>
          <cell r="N147">
            <v>0</v>
          </cell>
          <cell r="P147">
            <v>0</v>
          </cell>
          <cell r="R147">
            <v>41.3</v>
          </cell>
        </row>
        <row r="148">
          <cell r="C148" t="str">
            <v>Control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M148">
            <v>0</v>
          </cell>
          <cell r="N148">
            <v>0</v>
          </cell>
          <cell r="P148">
            <v>0</v>
          </cell>
          <cell r="R148">
            <v>38.9</v>
          </cell>
        </row>
        <row r="149">
          <cell r="C149" t="str">
            <v>Control</v>
          </cell>
          <cell r="H149">
            <v>1</v>
          </cell>
          <cell r="I149">
            <v>0</v>
          </cell>
          <cell r="J149">
            <v>0</v>
          </cell>
          <cell r="K149">
            <v>0</v>
          </cell>
          <cell r="M149">
            <v>0</v>
          </cell>
          <cell r="N149">
            <v>0</v>
          </cell>
          <cell r="P149">
            <v>0</v>
          </cell>
          <cell r="R149">
            <v>63.6</v>
          </cell>
        </row>
        <row r="150">
          <cell r="C150" t="str">
            <v>Control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M150">
            <v>577.94000000000005</v>
          </cell>
          <cell r="N150">
            <v>0</v>
          </cell>
          <cell r="P150">
            <v>0</v>
          </cell>
          <cell r="Q150">
            <v>9</v>
          </cell>
          <cell r="R150">
            <v>76.599999999999994</v>
          </cell>
        </row>
        <row r="151">
          <cell r="C151" t="str">
            <v>Control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M151">
            <v>0</v>
          </cell>
          <cell r="N151">
            <v>1</v>
          </cell>
          <cell r="P151">
            <v>0</v>
          </cell>
          <cell r="R151">
            <v>67.599999999999994</v>
          </cell>
        </row>
        <row r="152">
          <cell r="C152" t="str">
            <v>Control</v>
          </cell>
          <cell r="H152">
            <v>1</v>
          </cell>
          <cell r="I152">
            <v>0</v>
          </cell>
          <cell r="J152">
            <v>0</v>
          </cell>
          <cell r="K152">
            <v>0</v>
          </cell>
          <cell r="M152">
            <v>0</v>
          </cell>
          <cell r="N152">
            <v>0</v>
          </cell>
          <cell r="P152">
            <v>0</v>
          </cell>
          <cell r="R152">
            <v>43.1</v>
          </cell>
        </row>
        <row r="153">
          <cell r="C153" t="str">
            <v>Control</v>
          </cell>
          <cell r="H153">
            <v>1</v>
          </cell>
          <cell r="I153">
            <v>0</v>
          </cell>
          <cell r="J153">
            <v>0</v>
          </cell>
          <cell r="K153">
            <v>0</v>
          </cell>
          <cell r="M153">
            <v>0</v>
          </cell>
          <cell r="N153">
            <v>0</v>
          </cell>
          <cell r="P153">
            <v>0</v>
          </cell>
          <cell r="R153">
            <v>58.3</v>
          </cell>
        </row>
        <row r="154">
          <cell r="C154" t="str">
            <v>Control</v>
          </cell>
          <cell r="H154">
            <v>1</v>
          </cell>
          <cell r="I154">
            <v>0</v>
          </cell>
          <cell r="J154">
            <v>0</v>
          </cell>
          <cell r="K154">
            <v>0</v>
          </cell>
          <cell r="M154">
            <v>0</v>
          </cell>
          <cell r="N154">
            <v>0</v>
          </cell>
          <cell r="P154">
            <v>0</v>
          </cell>
          <cell r="R154">
            <v>69.8</v>
          </cell>
        </row>
        <row r="155">
          <cell r="C155" t="str">
            <v>Control</v>
          </cell>
          <cell r="H155">
            <v>1</v>
          </cell>
          <cell r="I155">
            <v>1</v>
          </cell>
          <cell r="J155">
            <v>0</v>
          </cell>
          <cell r="K155">
            <v>0</v>
          </cell>
          <cell r="M155">
            <v>0</v>
          </cell>
          <cell r="N155">
            <v>0</v>
          </cell>
          <cell r="P155">
            <v>0</v>
          </cell>
        </row>
        <row r="156">
          <cell r="C156" t="str">
            <v>Control</v>
          </cell>
          <cell r="H156">
            <v>1</v>
          </cell>
          <cell r="I156">
            <v>1</v>
          </cell>
          <cell r="J156">
            <v>0</v>
          </cell>
          <cell r="K156">
            <v>0</v>
          </cell>
          <cell r="M156">
            <v>0</v>
          </cell>
          <cell r="N156">
            <v>0</v>
          </cell>
          <cell r="P156">
            <v>0</v>
          </cell>
          <cell r="R156">
            <v>41.9</v>
          </cell>
        </row>
        <row r="157">
          <cell r="C157" t="str">
            <v>Control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M157">
            <v>0</v>
          </cell>
          <cell r="N157">
            <v>0</v>
          </cell>
          <cell r="P157">
            <v>0</v>
          </cell>
          <cell r="R157">
            <v>33.1</v>
          </cell>
        </row>
        <row r="158">
          <cell r="C158" t="str">
            <v>Control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M158">
            <v>0</v>
          </cell>
          <cell r="N158">
            <v>0</v>
          </cell>
          <cell r="P158">
            <v>0</v>
          </cell>
          <cell r="R158">
            <v>58.6</v>
          </cell>
        </row>
        <row r="159">
          <cell r="C159" t="str">
            <v>Control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M159">
            <v>0</v>
          </cell>
          <cell r="N159">
            <v>0</v>
          </cell>
          <cell r="P159">
            <v>0</v>
          </cell>
          <cell r="R159">
            <v>55.7</v>
          </cell>
        </row>
        <row r="160">
          <cell r="C160" t="str">
            <v>Control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M160">
            <v>0</v>
          </cell>
          <cell r="N160">
            <v>2</v>
          </cell>
          <cell r="P160">
            <v>0</v>
          </cell>
          <cell r="R160">
            <v>64.900000000000006</v>
          </cell>
        </row>
        <row r="161">
          <cell r="C161" t="str">
            <v>Control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M161">
            <v>0</v>
          </cell>
          <cell r="N161">
            <v>0</v>
          </cell>
          <cell r="P161">
            <v>0</v>
          </cell>
          <cell r="R161">
            <v>72.3</v>
          </cell>
        </row>
        <row r="162">
          <cell r="C162" t="str">
            <v>Control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M162">
            <v>0</v>
          </cell>
          <cell r="N162">
            <v>0</v>
          </cell>
          <cell r="P162">
            <v>0</v>
          </cell>
          <cell r="R162">
            <v>42.1</v>
          </cell>
        </row>
        <row r="163">
          <cell r="C163" t="str">
            <v>Control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M163">
            <v>0</v>
          </cell>
          <cell r="N163">
            <v>0</v>
          </cell>
          <cell r="P163">
            <v>0</v>
          </cell>
        </row>
        <row r="164">
          <cell r="C164" t="str">
            <v>Control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M164">
            <v>0</v>
          </cell>
          <cell r="N164">
            <v>1</v>
          </cell>
          <cell r="P164">
            <v>0</v>
          </cell>
          <cell r="R164">
            <v>64.8</v>
          </cell>
        </row>
        <row r="165">
          <cell r="C165" t="str">
            <v>Control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M165">
            <v>0</v>
          </cell>
          <cell r="N165">
            <v>0</v>
          </cell>
          <cell r="P165">
            <v>0</v>
          </cell>
          <cell r="R165">
            <v>72.099999999999994</v>
          </cell>
        </row>
        <row r="166">
          <cell r="C166" t="str">
            <v>Control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M166">
            <v>0</v>
          </cell>
          <cell r="N166">
            <v>0</v>
          </cell>
          <cell r="P166">
            <v>0</v>
          </cell>
          <cell r="R166">
            <v>50.6</v>
          </cell>
        </row>
        <row r="167">
          <cell r="C167" t="str">
            <v>Control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M167">
            <v>1281.25</v>
          </cell>
          <cell r="N167">
            <v>1</v>
          </cell>
          <cell r="P167">
            <v>0</v>
          </cell>
          <cell r="Q167">
            <v>9</v>
          </cell>
          <cell r="R167">
            <v>43.4</v>
          </cell>
        </row>
        <row r="168">
          <cell r="C168" t="str">
            <v>Control</v>
          </cell>
          <cell r="H168">
            <v>1</v>
          </cell>
          <cell r="I168">
            <v>0</v>
          </cell>
          <cell r="J168">
            <v>0</v>
          </cell>
          <cell r="K168">
            <v>0</v>
          </cell>
          <cell r="M168">
            <v>0</v>
          </cell>
          <cell r="N168">
            <v>0</v>
          </cell>
          <cell r="P168">
            <v>0</v>
          </cell>
          <cell r="R168">
            <v>59.7</v>
          </cell>
        </row>
        <row r="169">
          <cell r="C169" t="str">
            <v>Control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M169">
            <v>0</v>
          </cell>
          <cell r="N169">
            <v>1</v>
          </cell>
          <cell r="P169">
            <v>0</v>
          </cell>
        </row>
        <row r="170">
          <cell r="C170" t="str">
            <v>Control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M170">
            <v>0</v>
          </cell>
          <cell r="N170">
            <v>0</v>
          </cell>
          <cell r="P170">
            <v>0</v>
          </cell>
          <cell r="R170">
            <v>54.5</v>
          </cell>
        </row>
        <row r="171">
          <cell r="C171" t="str">
            <v>Control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M171">
            <v>0</v>
          </cell>
          <cell r="N171">
            <v>0</v>
          </cell>
          <cell r="P171">
            <v>0</v>
          </cell>
          <cell r="R171">
            <v>71.099999999999994</v>
          </cell>
        </row>
        <row r="172">
          <cell r="C172" t="str">
            <v>Control</v>
          </cell>
          <cell r="H172">
            <v>1</v>
          </cell>
          <cell r="I172">
            <v>1</v>
          </cell>
          <cell r="J172">
            <v>1</v>
          </cell>
          <cell r="K172">
            <v>0</v>
          </cell>
          <cell r="M172">
            <v>0</v>
          </cell>
          <cell r="N172">
            <v>0</v>
          </cell>
          <cell r="P172">
            <v>0</v>
          </cell>
          <cell r="R172">
            <v>44.4</v>
          </cell>
        </row>
        <row r="173">
          <cell r="C173" t="str">
            <v>Control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M173">
            <v>0</v>
          </cell>
          <cell r="N173">
            <v>0</v>
          </cell>
          <cell r="P173">
            <v>0</v>
          </cell>
          <cell r="R173">
            <v>61.7</v>
          </cell>
        </row>
        <row r="174">
          <cell r="C174" t="str">
            <v>Control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M174">
            <v>0</v>
          </cell>
          <cell r="N174">
            <v>1</v>
          </cell>
          <cell r="P174">
            <v>0</v>
          </cell>
          <cell r="R174">
            <v>81.3</v>
          </cell>
        </row>
        <row r="175">
          <cell r="C175" t="str">
            <v>Control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M175">
            <v>0</v>
          </cell>
          <cell r="N175">
            <v>2</v>
          </cell>
          <cell r="P175">
            <v>0</v>
          </cell>
          <cell r="R175">
            <v>28.7</v>
          </cell>
        </row>
        <row r="176">
          <cell r="C176" t="str">
            <v>Control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M176">
            <v>0</v>
          </cell>
          <cell r="N176">
            <v>0</v>
          </cell>
          <cell r="P176">
            <v>0</v>
          </cell>
          <cell r="R176">
            <v>53</v>
          </cell>
        </row>
        <row r="177">
          <cell r="C177" t="str">
            <v>Control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M177">
            <v>0</v>
          </cell>
          <cell r="N177">
            <v>0</v>
          </cell>
          <cell r="P177">
            <v>0</v>
          </cell>
          <cell r="R177">
            <v>54.9</v>
          </cell>
        </row>
        <row r="178">
          <cell r="C178" t="str">
            <v>Control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M178">
            <v>0</v>
          </cell>
          <cell r="N178">
            <v>0</v>
          </cell>
          <cell r="P178">
            <v>0</v>
          </cell>
          <cell r="R178">
            <v>58.2</v>
          </cell>
        </row>
        <row r="179">
          <cell r="C179" t="str">
            <v>Control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  <cell r="N179">
            <v>0</v>
          </cell>
          <cell r="P179">
            <v>0</v>
          </cell>
          <cell r="R179">
            <v>80.599999999999994</v>
          </cell>
        </row>
        <row r="180">
          <cell r="C180" t="str">
            <v>Control</v>
          </cell>
          <cell r="H180">
            <v>1</v>
          </cell>
          <cell r="I180">
            <v>1</v>
          </cell>
          <cell r="J180">
            <v>1</v>
          </cell>
          <cell r="K180">
            <v>0</v>
          </cell>
          <cell r="M180">
            <v>0</v>
          </cell>
          <cell r="N180">
            <v>0</v>
          </cell>
          <cell r="P180">
            <v>0</v>
          </cell>
          <cell r="R180">
            <v>38.4</v>
          </cell>
        </row>
        <row r="181">
          <cell r="C181" t="str">
            <v>Control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M181">
            <v>0</v>
          </cell>
          <cell r="N181">
            <v>0</v>
          </cell>
          <cell r="P181">
            <v>0</v>
          </cell>
          <cell r="R181">
            <v>56.1</v>
          </cell>
        </row>
        <row r="182">
          <cell r="C182" t="str">
            <v>Control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M182">
            <v>0</v>
          </cell>
          <cell r="N182">
            <v>0</v>
          </cell>
          <cell r="P182">
            <v>0</v>
          </cell>
          <cell r="R182">
            <v>62.6</v>
          </cell>
        </row>
        <row r="183">
          <cell r="C183" t="str">
            <v>Control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M183">
            <v>0</v>
          </cell>
          <cell r="N183">
            <v>0</v>
          </cell>
          <cell r="P183">
            <v>0</v>
          </cell>
          <cell r="R183">
            <v>36.299999999999997</v>
          </cell>
        </row>
        <row r="184">
          <cell r="C184" t="str">
            <v>Control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M184">
            <v>0</v>
          </cell>
          <cell r="N184">
            <v>0</v>
          </cell>
          <cell r="P184">
            <v>0</v>
          </cell>
          <cell r="R184">
            <v>52.1</v>
          </cell>
        </row>
        <row r="185">
          <cell r="C185" t="str">
            <v>Control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M185">
            <v>0</v>
          </cell>
          <cell r="N185">
            <v>0</v>
          </cell>
          <cell r="P185">
            <v>0</v>
          </cell>
          <cell r="R185">
            <v>45.1</v>
          </cell>
        </row>
        <row r="186">
          <cell r="C186" t="str">
            <v>Control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M186">
            <v>0</v>
          </cell>
          <cell r="N186">
            <v>0</v>
          </cell>
          <cell r="P186">
            <v>0</v>
          </cell>
          <cell r="R186">
            <v>67.5</v>
          </cell>
        </row>
        <row r="187">
          <cell r="C187" t="str">
            <v>Control</v>
          </cell>
          <cell r="H187">
            <v>1</v>
          </cell>
          <cell r="I187">
            <v>1</v>
          </cell>
          <cell r="J187">
            <v>1</v>
          </cell>
          <cell r="K187">
            <v>0</v>
          </cell>
          <cell r="M187">
            <v>0</v>
          </cell>
          <cell r="N187">
            <v>0</v>
          </cell>
          <cell r="P187">
            <v>0</v>
          </cell>
          <cell r="R187">
            <v>80</v>
          </cell>
        </row>
        <row r="188">
          <cell r="C188" t="str">
            <v>Control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M188">
            <v>0</v>
          </cell>
          <cell r="N188">
            <v>0</v>
          </cell>
          <cell r="P188">
            <v>0</v>
          </cell>
          <cell r="R188">
            <v>56.4</v>
          </cell>
        </row>
        <row r="189">
          <cell r="C189" t="str">
            <v>Control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0</v>
          </cell>
          <cell r="N189">
            <v>0</v>
          </cell>
          <cell r="P189">
            <v>0</v>
          </cell>
          <cell r="R189">
            <v>55.4</v>
          </cell>
        </row>
        <row r="190">
          <cell r="C190" t="str">
            <v>Control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M190">
            <v>0</v>
          </cell>
          <cell r="N190">
            <v>0</v>
          </cell>
          <cell r="P190">
            <v>0</v>
          </cell>
          <cell r="R190">
            <v>67.900000000000006</v>
          </cell>
        </row>
        <row r="191">
          <cell r="C191" t="str">
            <v>Control</v>
          </cell>
          <cell r="H191">
            <v>1</v>
          </cell>
          <cell r="I191">
            <v>0</v>
          </cell>
          <cell r="J191">
            <v>0</v>
          </cell>
          <cell r="K191">
            <v>0</v>
          </cell>
          <cell r="M191">
            <v>0</v>
          </cell>
          <cell r="N191">
            <v>0</v>
          </cell>
          <cell r="P191">
            <v>0</v>
          </cell>
          <cell r="R191">
            <v>62.5</v>
          </cell>
        </row>
        <row r="192">
          <cell r="C192" t="str">
            <v>Control</v>
          </cell>
          <cell r="H192">
            <v>1</v>
          </cell>
          <cell r="I192">
            <v>1</v>
          </cell>
          <cell r="J192">
            <v>1</v>
          </cell>
          <cell r="K192">
            <v>0</v>
          </cell>
          <cell r="M192">
            <v>0</v>
          </cell>
          <cell r="N192">
            <v>0</v>
          </cell>
          <cell r="P192">
            <v>0</v>
          </cell>
          <cell r="R192">
            <v>54.3</v>
          </cell>
        </row>
        <row r="193">
          <cell r="C193" t="str">
            <v>Control</v>
          </cell>
          <cell r="H193">
            <v>1</v>
          </cell>
          <cell r="I193">
            <v>0</v>
          </cell>
          <cell r="J193">
            <v>0</v>
          </cell>
          <cell r="K193">
            <v>0</v>
          </cell>
          <cell r="M193">
            <v>0</v>
          </cell>
          <cell r="N193">
            <v>0</v>
          </cell>
          <cell r="P193">
            <v>0</v>
          </cell>
          <cell r="R193">
            <v>37.5</v>
          </cell>
        </row>
        <row r="194">
          <cell r="C194" t="str">
            <v>Control</v>
          </cell>
          <cell r="H194">
            <v>1</v>
          </cell>
          <cell r="I194">
            <v>0</v>
          </cell>
          <cell r="J194">
            <v>0</v>
          </cell>
          <cell r="K194">
            <v>0</v>
          </cell>
          <cell r="M194">
            <v>0</v>
          </cell>
          <cell r="N194">
            <v>0</v>
          </cell>
          <cell r="P194">
            <v>0</v>
          </cell>
          <cell r="R194">
            <v>52.6</v>
          </cell>
        </row>
        <row r="195">
          <cell r="C195" t="str">
            <v>Control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M195">
            <v>0</v>
          </cell>
          <cell r="N195">
            <v>0</v>
          </cell>
          <cell r="P195">
            <v>0</v>
          </cell>
          <cell r="R195">
            <v>46.1</v>
          </cell>
        </row>
        <row r="196">
          <cell r="C196" t="str">
            <v>Control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M196">
            <v>0</v>
          </cell>
          <cell r="N196">
            <v>0</v>
          </cell>
          <cell r="P196">
            <v>0</v>
          </cell>
          <cell r="R196">
            <v>54.7</v>
          </cell>
        </row>
        <row r="197">
          <cell r="C197" t="str">
            <v>Control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M197">
            <v>0</v>
          </cell>
          <cell r="N197">
            <v>0</v>
          </cell>
          <cell r="P197">
            <v>0</v>
          </cell>
          <cell r="R197">
            <v>74.2</v>
          </cell>
        </row>
        <row r="198">
          <cell r="C198" t="str">
            <v>Control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M198">
            <v>1052.8</v>
          </cell>
          <cell r="N198">
            <v>2</v>
          </cell>
          <cell r="P198">
            <v>0</v>
          </cell>
          <cell r="Q198">
            <v>6</v>
          </cell>
          <cell r="R198">
            <v>64.7</v>
          </cell>
        </row>
        <row r="199">
          <cell r="C199" t="str">
            <v>Control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M199">
            <v>0</v>
          </cell>
          <cell r="N199">
            <v>0</v>
          </cell>
          <cell r="P199">
            <v>0</v>
          </cell>
          <cell r="R199">
            <v>65.900000000000006</v>
          </cell>
        </row>
        <row r="200">
          <cell r="C200" t="str">
            <v>Control</v>
          </cell>
          <cell r="H200">
            <v>1</v>
          </cell>
          <cell r="I200">
            <v>0</v>
          </cell>
          <cell r="J200">
            <v>0</v>
          </cell>
          <cell r="K200">
            <v>0</v>
          </cell>
          <cell r="M200">
            <v>0</v>
          </cell>
          <cell r="N200">
            <v>0</v>
          </cell>
          <cell r="P200">
            <v>0</v>
          </cell>
          <cell r="R200">
            <v>64</v>
          </cell>
        </row>
        <row r="201">
          <cell r="C201" t="str">
            <v>Control</v>
          </cell>
          <cell r="H201">
            <v>1</v>
          </cell>
          <cell r="I201">
            <v>0</v>
          </cell>
          <cell r="J201">
            <v>0</v>
          </cell>
          <cell r="K201">
            <v>0</v>
          </cell>
          <cell r="M201">
            <v>0</v>
          </cell>
          <cell r="N201">
            <v>0</v>
          </cell>
          <cell r="P201">
            <v>0</v>
          </cell>
          <cell r="R201">
            <v>57.2</v>
          </cell>
        </row>
        <row r="202">
          <cell r="C202" t="str">
            <v>Control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M202">
            <v>0</v>
          </cell>
          <cell r="N202">
            <v>0</v>
          </cell>
          <cell r="P202">
            <v>0</v>
          </cell>
          <cell r="R202">
            <v>80.5</v>
          </cell>
        </row>
        <row r="203">
          <cell r="C203" t="str">
            <v>Control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M203">
            <v>0</v>
          </cell>
          <cell r="N203">
            <v>0</v>
          </cell>
          <cell r="P203">
            <v>0</v>
          </cell>
          <cell r="R203">
            <v>53.9</v>
          </cell>
        </row>
        <row r="204">
          <cell r="C204" t="str">
            <v>Control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M204">
            <v>0</v>
          </cell>
          <cell r="N204">
            <v>0</v>
          </cell>
          <cell r="P204">
            <v>0</v>
          </cell>
          <cell r="R204">
            <v>77.5</v>
          </cell>
        </row>
        <row r="205">
          <cell r="C205" t="str">
            <v>Control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M205">
            <v>0</v>
          </cell>
          <cell r="N205">
            <v>0</v>
          </cell>
          <cell r="P205">
            <v>0</v>
          </cell>
          <cell r="R205">
            <v>84.2</v>
          </cell>
        </row>
        <row r="206">
          <cell r="C206" t="str">
            <v>Control</v>
          </cell>
          <cell r="H206">
            <v>1</v>
          </cell>
          <cell r="I206">
            <v>1</v>
          </cell>
          <cell r="J206">
            <v>0</v>
          </cell>
          <cell r="K206">
            <v>0</v>
          </cell>
          <cell r="M206">
            <v>0</v>
          </cell>
          <cell r="N206">
            <v>0</v>
          </cell>
          <cell r="P206">
            <v>0</v>
          </cell>
          <cell r="R206">
            <v>54.9</v>
          </cell>
        </row>
        <row r="207">
          <cell r="C207" t="str">
            <v>Control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  <cell r="N207">
            <v>0</v>
          </cell>
          <cell r="P207">
            <v>0</v>
          </cell>
          <cell r="R207">
            <v>69.3</v>
          </cell>
        </row>
        <row r="208">
          <cell r="C208" t="str">
            <v>Control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M208">
            <v>0</v>
          </cell>
          <cell r="N208">
            <v>2</v>
          </cell>
          <cell r="P208">
            <v>0</v>
          </cell>
          <cell r="R208">
            <v>42.3</v>
          </cell>
        </row>
        <row r="209">
          <cell r="C209" t="str">
            <v>Control</v>
          </cell>
          <cell r="H209">
            <v>1</v>
          </cell>
          <cell r="I209">
            <v>0</v>
          </cell>
          <cell r="J209">
            <v>0</v>
          </cell>
          <cell r="K209">
            <v>0</v>
          </cell>
          <cell r="M209">
            <v>0</v>
          </cell>
          <cell r="N209">
            <v>1</v>
          </cell>
          <cell r="P209">
            <v>0</v>
          </cell>
          <cell r="R209">
            <v>69.599999999999994</v>
          </cell>
        </row>
        <row r="210">
          <cell r="C210" t="str">
            <v>Control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  <cell r="N210">
            <v>0</v>
          </cell>
          <cell r="P210">
            <v>0</v>
          </cell>
          <cell r="R210">
            <v>40.700000000000003</v>
          </cell>
        </row>
        <row r="211">
          <cell r="C211" t="str">
            <v>Control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M211">
            <v>0</v>
          </cell>
          <cell r="N211">
            <v>0</v>
          </cell>
          <cell r="P211">
            <v>0</v>
          </cell>
          <cell r="R211">
            <v>54</v>
          </cell>
        </row>
        <row r="212">
          <cell r="C212" t="str">
            <v>Control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M212">
            <v>553.37</v>
          </cell>
          <cell r="N212">
            <v>0</v>
          </cell>
          <cell r="P212">
            <v>0</v>
          </cell>
          <cell r="Q212">
            <v>5</v>
          </cell>
          <cell r="R212">
            <v>46.3</v>
          </cell>
        </row>
        <row r="213">
          <cell r="C213" t="str">
            <v>Control</v>
          </cell>
          <cell r="H213">
            <v>1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  <cell r="N213">
            <v>0</v>
          </cell>
          <cell r="P213">
            <v>0</v>
          </cell>
          <cell r="R213">
            <v>64.2</v>
          </cell>
        </row>
        <row r="214">
          <cell r="C214" t="str">
            <v>Control</v>
          </cell>
          <cell r="H214">
            <v>1</v>
          </cell>
          <cell r="I214">
            <v>0</v>
          </cell>
          <cell r="J214">
            <v>0</v>
          </cell>
          <cell r="K214">
            <v>0</v>
          </cell>
          <cell r="M214">
            <v>0</v>
          </cell>
          <cell r="N214">
            <v>0</v>
          </cell>
          <cell r="P214">
            <v>0</v>
          </cell>
          <cell r="R214">
            <v>75.2</v>
          </cell>
        </row>
        <row r="215">
          <cell r="C215" t="str">
            <v>Control</v>
          </cell>
          <cell r="H215">
            <v>1</v>
          </cell>
          <cell r="I215">
            <v>1</v>
          </cell>
          <cell r="J215">
            <v>0</v>
          </cell>
          <cell r="K215">
            <v>0</v>
          </cell>
          <cell r="M215">
            <v>0</v>
          </cell>
          <cell r="N215">
            <v>0</v>
          </cell>
          <cell r="P215">
            <v>0</v>
          </cell>
          <cell r="R215">
            <v>60.9</v>
          </cell>
        </row>
        <row r="216">
          <cell r="C216" t="str">
            <v>Control</v>
          </cell>
          <cell r="H216">
            <v>1</v>
          </cell>
          <cell r="I216">
            <v>1</v>
          </cell>
          <cell r="J216">
            <v>1</v>
          </cell>
          <cell r="K216">
            <v>0</v>
          </cell>
          <cell r="M216">
            <v>0</v>
          </cell>
          <cell r="N216">
            <v>0</v>
          </cell>
          <cell r="P216">
            <v>0</v>
          </cell>
          <cell r="R216">
            <v>62.1</v>
          </cell>
        </row>
        <row r="217">
          <cell r="C217" t="str">
            <v>Control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M217">
            <v>0</v>
          </cell>
          <cell r="N217">
            <v>0</v>
          </cell>
          <cell r="P217">
            <v>0</v>
          </cell>
          <cell r="R217">
            <v>45.4</v>
          </cell>
        </row>
        <row r="218">
          <cell r="C218" t="str">
            <v>Control</v>
          </cell>
          <cell r="H218">
            <v>1</v>
          </cell>
          <cell r="I218">
            <v>0</v>
          </cell>
          <cell r="J218">
            <v>0</v>
          </cell>
          <cell r="K218">
            <v>0</v>
          </cell>
          <cell r="M218">
            <v>0</v>
          </cell>
          <cell r="N218">
            <v>0</v>
          </cell>
          <cell r="P218">
            <v>0</v>
          </cell>
          <cell r="R218">
            <v>53.3</v>
          </cell>
        </row>
        <row r="219">
          <cell r="C219" t="str">
            <v>Control</v>
          </cell>
          <cell r="H219">
            <v>1</v>
          </cell>
          <cell r="I219">
            <v>0</v>
          </cell>
          <cell r="J219">
            <v>0</v>
          </cell>
          <cell r="K219">
            <v>0</v>
          </cell>
          <cell r="M219">
            <v>0</v>
          </cell>
          <cell r="N219">
            <v>0</v>
          </cell>
          <cell r="P219">
            <v>0</v>
          </cell>
        </row>
        <row r="220">
          <cell r="C220" t="str">
            <v>Control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M220">
            <v>0</v>
          </cell>
          <cell r="N220">
            <v>1</v>
          </cell>
          <cell r="P220">
            <v>0</v>
          </cell>
          <cell r="R220">
            <v>38.200000000000003</v>
          </cell>
        </row>
        <row r="221">
          <cell r="C221" t="str">
            <v>Control</v>
          </cell>
          <cell r="H221">
            <v>1</v>
          </cell>
          <cell r="I221">
            <v>1</v>
          </cell>
          <cell r="J221">
            <v>0</v>
          </cell>
          <cell r="K221">
            <v>0</v>
          </cell>
          <cell r="M221">
            <v>0</v>
          </cell>
          <cell r="N221">
            <v>3</v>
          </cell>
          <cell r="P221">
            <v>0</v>
          </cell>
          <cell r="R221">
            <v>59</v>
          </cell>
        </row>
        <row r="222">
          <cell r="C222" t="str">
            <v>Control</v>
          </cell>
          <cell r="H222">
            <v>1</v>
          </cell>
          <cell r="I222">
            <v>1</v>
          </cell>
          <cell r="J222">
            <v>1</v>
          </cell>
          <cell r="K222">
            <v>0</v>
          </cell>
          <cell r="M222">
            <v>0</v>
          </cell>
          <cell r="N222">
            <v>0</v>
          </cell>
          <cell r="P222">
            <v>0</v>
          </cell>
          <cell r="R222">
            <v>80.599999999999994</v>
          </cell>
        </row>
        <row r="223">
          <cell r="C223" t="str">
            <v>Control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M223">
            <v>0</v>
          </cell>
          <cell r="N223">
            <v>0</v>
          </cell>
          <cell r="P223">
            <v>0</v>
          </cell>
          <cell r="R223">
            <v>67</v>
          </cell>
        </row>
        <row r="224">
          <cell r="C224" t="str">
            <v>Control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M224">
            <v>0</v>
          </cell>
          <cell r="N224">
            <v>1</v>
          </cell>
          <cell r="P224">
            <v>0</v>
          </cell>
          <cell r="R224">
            <v>72.099999999999994</v>
          </cell>
        </row>
        <row r="225">
          <cell r="C225" t="str">
            <v>Control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M225">
            <v>0</v>
          </cell>
          <cell r="N225">
            <v>0</v>
          </cell>
          <cell r="P225">
            <v>0</v>
          </cell>
          <cell r="R225">
            <v>74.099999999999994</v>
          </cell>
        </row>
        <row r="226">
          <cell r="C226" t="str">
            <v>Control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M226">
            <v>0</v>
          </cell>
          <cell r="N226">
            <v>0</v>
          </cell>
          <cell r="P226">
            <v>0</v>
          </cell>
          <cell r="R226">
            <v>84.8</v>
          </cell>
        </row>
        <row r="227">
          <cell r="C227" t="str">
            <v>Control</v>
          </cell>
          <cell r="H227">
            <v>1</v>
          </cell>
          <cell r="I227">
            <v>0</v>
          </cell>
          <cell r="J227">
            <v>0</v>
          </cell>
          <cell r="K227">
            <v>0</v>
          </cell>
          <cell r="M227">
            <v>0</v>
          </cell>
          <cell r="N227">
            <v>0</v>
          </cell>
          <cell r="P227">
            <v>0</v>
          </cell>
          <cell r="R227">
            <v>33</v>
          </cell>
        </row>
        <row r="228">
          <cell r="C228" t="str">
            <v>Control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M228">
            <v>0</v>
          </cell>
          <cell r="N228">
            <v>0</v>
          </cell>
          <cell r="P228">
            <v>0</v>
          </cell>
          <cell r="R228">
            <v>52.5</v>
          </cell>
        </row>
        <row r="229">
          <cell r="C229" t="str">
            <v>Control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M229">
            <v>0</v>
          </cell>
          <cell r="N229">
            <v>0</v>
          </cell>
          <cell r="P229">
            <v>0</v>
          </cell>
          <cell r="R229">
            <v>66.900000000000006</v>
          </cell>
        </row>
        <row r="230">
          <cell r="C230" t="str">
            <v>Control</v>
          </cell>
          <cell r="H230">
            <v>1</v>
          </cell>
          <cell r="I230">
            <v>1</v>
          </cell>
          <cell r="J230">
            <v>1</v>
          </cell>
          <cell r="K230">
            <v>0</v>
          </cell>
          <cell r="M230">
            <v>0</v>
          </cell>
          <cell r="N230">
            <v>1</v>
          </cell>
          <cell r="P230">
            <v>0</v>
          </cell>
          <cell r="R230">
            <v>32.700000000000003</v>
          </cell>
        </row>
        <row r="231">
          <cell r="C231" t="str">
            <v>Control</v>
          </cell>
          <cell r="H231">
            <v>1</v>
          </cell>
          <cell r="I231">
            <v>1</v>
          </cell>
          <cell r="J231">
            <v>1</v>
          </cell>
          <cell r="K231">
            <v>0</v>
          </cell>
          <cell r="M231">
            <v>0</v>
          </cell>
          <cell r="N231">
            <v>1</v>
          </cell>
          <cell r="P231">
            <v>0</v>
          </cell>
          <cell r="R231">
            <v>70.599999999999994</v>
          </cell>
        </row>
        <row r="232">
          <cell r="C232" t="str">
            <v>Control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M232">
            <v>0</v>
          </cell>
          <cell r="N232">
            <v>0</v>
          </cell>
          <cell r="P232">
            <v>0</v>
          </cell>
          <cell r="R232">
            <v>69.400000000000006</v>
          </cell>
        </row>
        <row r="233">
          <cell r="C233" t="str">
            <v>Control</v>
          </cell>
          <cell r="H233">
            <v>1</v>
          </cell>
          <cell r="I233">
            <v>0</v>
          </cell>
          <cell r="J233">
            <v>0</v>
          </cell>
          <cell r="K233">
            <v>0</v>
          </cell>
          <cell r="M233">
            <v>0</v>
          </cell>
          <cell r="N233">
            <v>0</v>
          </cell>
          <cell r="P233">
            <v>0</v>
          </cell>
          <cell r="R233">
            <v>56.1</v>
          </cell>
        </row>
        <row r="234">
          <cell r="C234" t="str">
            <v>Control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M234">
            <v>0</v>
          </cell>
          <cell r="N234">
            <v>0</v>
          </cell>
          <cell r="P234">
            <v>0</v>
          </cell>
          <cell r="R234">
            <v>55.8</v>
          </cell>
        </row>
        <row r="235">
          <cell r="C235" t="str">
            <v>Control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M235">
            <v>0</v>
          </cell>
          <cell r="N235">
            <v>0</v>
          </cell>
          <cell r="P235">
            <v>0</v>
          </cell>
          <cell r="R235">
            <v>49.3</v>
          </cell>
        </row>
        <row r="236">
          <cell r="C236" t="str">
            <v>Control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M236">
            <v>0</v>
          </cell>
          <cell r="N236">
            <v>0</v>
          </cell>
          <cell r="P236">
            <v>0</v>
          </cell>
          <cell r="R236">
            <v>71.8</v>
          </cell>
        </row>
        <row r="237">
          <cell r="C237" t="str">
            <v>Control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M237">
            <v>0</v>
          </cell>
          <cell r="N237">
            <v>3</v>
          </cell>
          <cell r="P237">
            <v>0</v>
          </cell>
          <cell r="R237">
            <v>39.700000000000003</v>
          </cell>
        </row>
        <row r="238">
          <cell r="C238" t="str">
            <v>Control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M238">
            <v>0</v>
          </cell>
          <cell r="N238">
            <v>0</v>
          </cell>
          <cell r="P238">
            <v>0</v>
          </cell>
          <cell r="R238">
            <v>45.4</v>
          </cell>
        </row>
        <row r="239">
          <cell r="C239" t="str">
            <v>Control</v>
          </cell>
          <cell r="H239">
            <v>1</v>
          </cell>
          <cell r="I239">
            <v>0</v>
          </cell>
          <cell r="J239">
            <v>0</v>
          </cell>
          <cell r="K239">
            <v>0</v>
          </cell>
          <cell r="M239">
            <v>0</v>
          </cell>
          <cell r="N239">
            <v>0</v>
          </cell>
          <cell r="P239">
            <v>0</v>
          </cell>
          <cell r="R239">
            <v>69.900000000000006</v>
          </cell>
        </row>
        <row r="240">
          <cell r="C240" t="str">
            <v>Control</v>
          </cell>
          <cell r="H240">
            <v>1</v>
          </cell>
          <cell r="I240">
            <v>1</v>
          </cell>
          <cell r="J240">
            <v>1</v>
          </cell>
          <cell r="K240">
            <v>0</v>
          </cell>
          <cell r="M240">
            <v>0</v>
          </cell>
          <cell r="N240">
            <v>0</v>
          </cell>
          <cell r="P240">
            <v>0</v>
          </cell>
          <cell r="R240">
            <v>56.1</v>
          </cell>
        </row>
        <row r="241">
          <cell r="C241" t="str">
            <v>Control</v>
          </cell>
          <cell r="H241">
            <v>1</v>
          </cell>
          <cell r="I241">
            <v>1</v>
          </cell>
          <cell r="J241">
            <v>0</v>
          </cell>
          <cell r="K241">
            <v>0</v>
          </cell>
          <cell r="M241">
            <v>0</v>
          </cell>
          <cell r="N241">
            <v>0</v>
          </cell>
          <cell r="P241">
            <v>0</v>
          </cell>
          <cell r="R241">
            <v>45.9</v>
          </cell>
        </row>
        <row r="242">
          <cell r="C242" t="str">
            <v>Control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M242">
            <v>0</v>
          </cell>
          <cell r="N242">
            <v>0</v>
          </cell>
          <cell r="P242">
            <v>0</v>
          </cell>
          <cell r="R242">
            <v>65.8</v>
          </cell>
        </row>
        <row r="243">
          <cell r="C243" t="str">
            <v>Control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P243">
            <v>0</v>
          </cell>
          <cell r="R243">
            <v>48.2</v>
          </cell>
        </row>
        <row r="244">
          <cell r="C244" t="str">
            <v>Control</v>
          </cell>
          <cell r="H244">
            <v>1</v>
          </cell>
          <cell r="I244">
            <v>1</v>
          </cell>
          <cell r="J244">
            <v>1</v>
          </cell>
          <cell r="K244">
            <v>0</v>
          </cell>
          <cell r="M244">
            <v>0</v>
          </cell>
          <cell r="N244">
            <v>0</v>
          </cell>
          <cell r="P244">
            <v>0</v>
          </cell>
          <cell r="R244">
            <v>81.099999999999994</v>
          </cell>
        </row>
        <row r="245">
          <cell r="C245" t="str">
            <v>Control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M245">
            <v>0</v>
          </cell>
          <cell r="N245">
            <v>0</v>
          </cell>
          <cell r="P245">
            <v>0</v>
          </cell>
          <cell r="R245">
            <v>53.2</v>
          </cell>
        </row>
        <row r="246">
          <cell r="C246" t="str">
            <v>Control</v>
          </cell>
          <cell r="H246">
            <v>1</v>
          </cell>
          <cell r="I246">
            <v>1</v>
          </cell>
          <cell r="J246">
            <v>1</v>
          </cell>
          <cell r="K246">
            <v>0</v>
          </cell>
          <cell r="M246">
            <v>0</v>
          </cell>
          <cell r="N246">
            <v>0</v>
          </cell>
          <cell r="P246">
            <v>0</v>
          </cell>
          <cell r="R246">
            <v>57.7</v>
          </cell>
        </row>
        <row r="247">
          <cell r="C247" t="str">
            <v>Control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P247">
            <v>0</v>
          </cell>
          <cell r="R247">
            <v>78.900000000000006</v>
          </cell>
        </row>
        <row r="248">
          <cell r="C248" t="str">
            <v>Control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M248">
            <v>0</v>
          </cell>
          <cell r="N248">
            <v>0</v>
          </cell>
          <cell r="P248">
            <v>0</v>
          </cell>
          <cell r="R248">
            <v>55.7</v>
          </cell>
        </row>
        <row r="249">
          <cell r="C249" t="str">
            <v>Control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M249">
            <v>0</v>
          </cell>
          <cell r="N249">
            <v>0</v>
          </cell>
          <cell r="P249">
            <v>0</v>
          </cell>
          <cell r="R249">
            <v>52.3</v>
          </cell>
        </row>
        <row r="250">
          <cell r="C250" t="str">
            <v>Control</v>
          </cell>
          <cell r="H250">
            <v>1</v>
          </cell>
          <cell r="I250">
            <v>0</v>
          </cell>
          <cell r="J250">
            <v>0</v>
          </cell>
          <cell r="K250">
            <v>0</v>
          </cell>
          <cell r="M250">
            <v>0</v>
          </cell>
          <cell r="N250">
            <v>0</v>
          </cell>
          <cell r="P250">
            <v>0</v>
          </cell>
          <cell r="R250">
            <v>51.5</v>
          </cell>
        </row>
        <row r="251">
          <cell r="C251" t="str">
            <v>Control</v>
          </cell>
          <cell r="H251">
            <v>1</v>
          </cell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P251">
            <v>0</v>
          </cell>
          <cell r="R251">
            <v>70.8</v>
          </cell>
        </row>
        <row r="252">
          <cell r="C252" t="str">
            <v>Control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M252">
            <v>1250.78</v>
          </cell>
          <cell r="N252">
            <v>0</v>
          </cell>
          <cell r="P252">
            <v>0</v>
          </cell>
          <cell r="Q252">
            <v>10</v>
          </cell>
          <cell r="R252">
            <v>39</v>
          </cell>
        </row>
        <row r="253">
          <cell r="C253" t="str">
            <v>Control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M253">
            <v>0</v>
          </cell>
          <cell r="N253">
            <v>0</v>
          </cell>
          <cell r="P253">
            <v>0</v>
          </cell>
          <cell r="R253">
            <v>61.6</v>
          </cell>
        </row>
        <row r="254">
          <cell r="C254" t="str">
            <v>Control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  <cell r="M254">
            <v>0</v>
          </cell>
          <cell r="N254">
            <v>0</v>
          </cell>
          <cell r="P254">
            <v>0</v>
          </cell>
          <cell r="R254">
            <v>46.8</v>
          </cell>
        </row>
        <row r="255">
          <cell r="C255" t="str">
            <v>Control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M255">
            <v>0</v>
          </cell>
          <cell r="N255">
            <v>1</v>
          </cell>
          <cell r="P255">
            <v>0</v>
          </cell>
          <cell r="R255">
            <v>58.5</v>
          </cell>
        </row>
        <row r="256">
          <cell r="C256" t="str">
            <v>Control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M256">
            <v>0</v>
          </cell>
          <cell r="N256">
            <v>0</v>
          </cell>
          <cell r="P256">
            <v>0</v>
          </cell>
          <cell r="R256">
            <v>70.900000000000006</v>
          </cell>
        </row>
        <row r="257">
          <cell r="C257" t="str">
            <v>Control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M257">
            <v>0</v>
          </cell>
          <cell r="N257">
            <v>0</v>
          </cell>
          <cell r="P257">
            <v>0</v>
          </cell>
          <cell r="R257">
            <v>48.4</v>
          </cell>
        </row>
        <row r="258">
          <cell r="C258" t="str">
            <v>Control</v>
          </cell>
          <cell r="H258">
            <v>1</v>
          </cell>
          <cell r="I258">
            <v>0</v>
          </cell>
          <cell r="J258">
            <v>0</v>
          </cell>
          <cell r="K258">
            <v>0</v>
          </cell>
          <cell r="M258">
            <v>0</v>
          </cell>
          <cell r="N258">
            <v>0</v>
          </cell>
          <cell r="P258">
            <v>0</v>
          </cell>
          <cell r="R258">
            <v>58</v>
          </cell>
        </row>
        <row r="259">
          <cell r="C259" t="str">
            <v>Control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M259">
            <v>0</v>
          </cell>
          <cell r="N259">
            <v>0</v>
          </cell>
          <cell r="P259">
            <v>0</v>
          </cell>
          <cell r="R259">
            <v>61.6</v>
          </cell>
        </row>
        <row r="260">
          <cell r="C260" t="str">
            <v>Control</v>
          </cell>
          <cell r="H260">
            <v>1</v>
          </cell>
          <cell r="I260">
            <v>0</v>
          </cell>
          <cell r="J260">
            <v>0</v>
          </cell>
          <cell r="K260">
            <v>0</v>
          </cell>
          <cell r="M260">
            <v>0</v>
          </cell>
          <cell r="N260">
            <v>0</v>
          </cell>
          <cell r="P260">
            <v>0</v>
          </cell>
          <cell r="R260">
            <v>43.2</v>
          </cell>
        </row>
        <row r="261">
          <cell r="C261" t="str">
            <v>Control</v>
          </cell>
          <cell r="H261">
            <v>1</v>
          </cell>
          <cell r="I261">
            <v>0</v>
          </cell>
          <cell r="J261">
            <v>0</v>
          </cell>
          <cell r="K261">
            <v>0</v>
          </cell>
          <cell r="M261">
            <v>0</v>
          </cell>
          <cell r="N261">
            <v>1</v>
          </cell>
          <cell r="P261">
            <v>0</v>
          </cell>
          <cell r="R261">
            <v>53.3</v>
          </cell>
        </row>
        <row r="262">
          <cell r="C262" t="str">
            <v>Control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M262">
            <v>0</v>
          </cell>
          <cell r="N262">
            <v>0</v>
          </cell>
          <cell r="P262">
            <v>0</v>
          </cell>
          <cell r="R262">
            <v>33.9</v>
          </cell>
        </row>
        <row r="263">
          <cell r="C263" t="str">
            <v>Control</v>
          </cell>
          <cell r="H263">
            <v>1</v>
          </cell>
          <cell r="I263">
            <v>1</v>
          </cell>
          <cell r="J263">
            <v>1</v>
          </cell>
          <cell r="K263">
            <v>0</v>
          </cell>
          <cell r="M263">
            <v>0</v>
          </cell>
          <cell r="N263">
            <v>0</v>
          </cell>
          <cell r="P263">
            <v>0</v>
          </cell>
          <cell r="R263">
            <v>35.4</v>
          </cell>
        </row>
        <row r="264">
          <cell r="C264" t="str">
            <v>Control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  <cell r="N264">
            <v>0</v>
          </cell>
          <cell r="P264">
            <v>0</v>
          </cell>
          <cell r="R264">
            <v>45</v>
          </cell>
        </row>
        <row r="265">
          <cell r="C265" t="str">
            <v>Control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M265">
            <v>0</v>
          </cell>
          <cell r="N265">
            <v>0</v>
          </cell>
          <cell r="P265">
            <v>0</v>
          </cell>
          <cell r="R265">
            <v>86.5</v>
          </cell>
        </row>
        <row r="266">
          <cell r="C266" t="str">
            <v>Control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M266">
            <v>0</v>
          </cell>
          <cell r="N266">
            <v>0</v>
          </cell>
          <cell r="P266">
            <v>0</v>
          </cell>
          <cell r="R266">
            <v>58.1</v>
          </cell>
        </row>
        <row r="267">
          <cell r="C267" t="str">
            <v>Control</v>
          </cell>
          <cell r="H267">
            <v>1</v>
          </cell>
          <cell r="I267">
            <v>0</v>
          </cell>
          <cell r="J267">
            <v>0</v>
          </cell>
          <cell r="K267">
            <v>0</v>
          </cell>
          <cell r="M267">
            <v>0</v>
          </cell>
          <cell r="N267">
            <v>0</v>
          </cell>
          <cell r="P267">
            <v>0</v>
          </cell>
          <cell r="R267">
            <v>36.1</v>
          </cell>
        </row>
        <row r="268">
          <cell r="C268" t="str">
            <v>Control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M268">
            <v>0</v>
          </cell>
          <cell r="N268">
            <v>0</v>
          </cell>
          <cell r="P268">
            <v>0</v>
          </cell>
          <cell r="R268">
            <v>62.8</v>
          </cell>
        </row>
        <row r="269">
          <cell r="C269" t="str">
            <v>Control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M269">
            <v>0</v>
          </cell>
          <cell r="N269">
            <v>0</v>
          </cell>
          <cell r="P269">
            <v>0</v>
          </cell>
          <cell r="R269">
            <v>54.2</v>
          </cell>
        </row>
        <row r="270">
          <cell r="C270" t="str">
            <v>Control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M270">
            <v>0</v>
          </cell>
          <cell r="N270">
            <v>0</v>
          </cell>
          <cell r="P270">
            <v>0</v>
          </cell>
          <cell r="R270">
            <v>50</v>
          </cell>
        </row>
        <row r="271">
          <cell r="C271" t="str">
            <v>Control</v>
          </cell>
          <cell r="H271">
            <v>1</v>
          </cell>
          <cell r="I271">
            <v>0</v>
          </cell>
          <cell r="J271">
            <v>0</v>
          </cell>
          <cell r="K271">
            <v>0</v>
          </cell>
          <cell r="M271">
            <v>0</v>
          </cell>
          <cell r="N271">
            <v>0</v>
          </cell>
          <cell r="P271">
            <v>0</v>
          </cell>
          <cell r="R271">
            <v>62</v>
          </cell>
        </row>
        <row r="272">
          <cell r="C272" t="str">
            <v>Control</v>
          </cell>
          <cell r="H272">
            <v>1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  <cell r="N272">
            <v>0</v>
          </cell>
          <cell r="P272">
            <v>0</v>
          </cell>
          <cell r="R272">
            <v>29.3</v>
          </cell>
        </row>
        <row r="273">
          <cell r="C273" t="str">
            <v>Control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P273">
            <v>0</v>
          </cell>
          <cell r="R273">
            <v>67.900000000000006</v>
          </cell>
        </row>
        <row r="274">
          <cell r="C274" t="str">
            <v>Control</v>
          </cell>
          <cell r="H274">
            <v>1</v>
          </cell>
          <cell r="I274">
            <v>1</v>
          </cell>
          <cell r="J274">
            <v>1</v>
          </cell>
          <cell r="K274">
            <v>0</v>
          </cell>
          <cell r="M274">
            <v>0</v>
          </cell>
          <cell r="N274">
            <v>0</v>
          </cell>
          <cell r="P274">
            <v>0</v>
          </cell>
          <cell r="R274">
            <v>67.599999999999994</v>
          </cell>
        </row>
        <row r="275">
          <cell r="C275" t="str">
            <v>Control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M275">
            <v>0</v>
          </cell>
          <cell r="N275">
            <v>0</v>
          </cell>
          <cell r="P275">
            <v>0</v>
          </cell>
          <cell r="R275">
            <v>67.400000000000006</v>
          </cell>
        </row>
        <row r="276">
          <cell r="C276" t="str">
            <v>Control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M276">
            <v>0</v>
          </cell>
          <cell r="N276">
            <v>2</v>
          </cell>
          <cell r="P276">
            <v>0</v>
          </cell>
          <cell r="R276">
            <v>53</v>
          </cell>
        </row>
        <row r="277">
          <cell r="C277" t="str">
            <v>Control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M277">
            <v>0</v>
          </cell>
          <cell r="N277">
            <v>0</v>
          </cell>
          <cell r="P277">
            <v>0</v>
          </cell>
          <cell r="R277">
            <v>65.5</v>
          </cell>
        </row>
        <row r="278">
          <cell r="C278" t="str">
            <v>Control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M278">
            <v>0</v>
          </cell>
          <cell r="N278">
            <v>0</v>
          </cell>
          <cell r="P278">
            <v>0</v>
          </cell>
          <cell r="R278">
            <v>49.6</v>
          </cell>
        </row>
        <row r="279">
          <cell r="C279" t="str">
            <v>Control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M279">
            <v>0</v>
          </cell>
          <cell r="N279">
            <v>0</v>
          </cell>
          <cell r="P279">
            <v>0</v>
          </cell>
          <cell r="R279">
            <v>74.5</v>
          </cell>
        </row>
        <row r="280">
          <cell r="C280" t="str">
            <v>Control</v>
          </cell>
          <cell r="H280">
            <v>1</v>
          </cell>
          <cell r="I280">
            <v>0</v>
          </cell>
          <cell r="J280">
            <v>0</v>
          </cell>
          <cell r="K280">
            <v>0</v>
          </cell>
          <cell r="M280">
            <v>0</v>
          </cell>
          <cell r="N280">
            <v>1</v>
          </cell>
          <cell r="P280">
            <v>0</v>
          </cell>
          <cell r="R280">
            <v>46.9</v>
          </cell>
        </row>
        <row r="281">
          <cell r="C281" t="str">
            <v>Control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M281">
            <v>0</v>
          </cell>
          <cell r="N281">
            <v>0</v>
          </cell>
          <cell r="P281">
            <v>0</v>
          </cell>
          <cell r="R281">
            <v>87.1</v>
          </cell>
        </row>
        <row r="282">
          <cell r="C282" t="str">
            <v>Control</v>
          </cell>
          <cell r="H282">
            <v>1</v>
          </cell>
          <cell r="I282">
            <v>0</v>
          </cell>
          <cell r="J282">
            <v>0</v>
          </cell>
          <cell r="K282">
            <v>0</v>
          </cell>
          <cell r="M282">
            <v>0</v>
          </cell>
          <cell r="N282">
            <v>0</v>
          </cell>
          <cell r="P282">
            <v>0</v>
          </cell>
          <cell r="R282">
            <v>56</v>
          </cell>
        </row>
        <row r="283">
          <cell r="C283" t="str">
            <v>Control</v>
          </cell>
          <cell r="H283">
            <v>1</v>
          </cell>
          <cell r="I283">
            <v>0</v>
          </cell>
          <cell r="J283">
            <v>0</v>
          </cell>
          <cell r="K283">
            <v>0</v>
          </cell>
          <cell r="M283">
            <v>0</v>
          </cell>
          <cell r="N283">
            <v>1</v>
          </cell>
          <cell r="P283">
            <v>0</v>
          </cell>
          <cell r="R283">
            <v>61.7</v>
          </cell>
        </row>
        <row r="284">
          <cell r="C284" t="str">
            <v>Control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M284">
            <v>0</v>
          </cell>
          <cell r="N284">
            <v>1</v>
          </cell>
          <cell r="P284">
            <v>0</v>
          </cell>
          <cell r="R284">
            <v>70.5</v>
          </cell>
        </row>
        <row r="285">
          <cell r="C285" t="str">
            <v>Control</v>
          </cell>
          <cell r="H285">
            <v>1</v>
          </cell>
          <cell r="I285">
            <v>0</v>
          </cell>
          <cell r="J285">
            <v>0</v>
          </cell>
          <cell r="K285">
            <v>0</v>
          </cell>
          <cell r="M285">
            <v>0</v>
          </cell>
          <cell r="N285">
            <v>0</v>
          </cell>
          <cell r="P285">
            <v>0</v>
          </cell>
          <cell r="R285">
            <v>33.4</v>
          </cell>
        </row>
        <row r="286">
          <cell r="C286" t="str">
            <v>Control</v>
          </cell>
          <cell r="H286">
            <v>1</v>
          </cell>
          <cell r="I286">
            <v>0</v>
          </cell>
          <cell r="J286">
            <v>0</v>
          </cell>
          <cell r="K286">
            <v>0</v>
          </cell>
          <cell r="M286">
            <v>0</v>
          </cell>
          <cell r="N286">
            <v>0</v>
          </cell>
          <cell r="P286">
            <v>0</v>
          </cell>
          <cell r="R286">
            <v>57.5</v>
          </cell>
        </row>
        <row r="287">
          <cell r="C287" t="str">
            <v>Control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M287">
            <v>0</v>
          </cell>
          <cell r="N287">
            <v>0</v>
          </cell>
          <cell r="P287">
            <v>0</v>
          </cell>
          <cell r="R287">
            <v>85.7</v>
          </cell>
        </row>
        <row r="288">
          <cell r="C288" t="str">
            <v>Control</v>
          </cell>
          <cell r="H288">
            <v>1</v>
          </cell>
          <cell r="I288">
            <v>0</v>
          </cell>
          <cell r="J288">
            <v>0</v>
          </cell>
          <cell r="K288">
            <v>0</v>
          </cell>
          <cell r="M288">
            <v>0</v>
          </cell>
          <cell r="N288">
            <v>0</v>
          </cell>
          <cell r="P288">
            <v>0</v>
          </cell>
          <cell r="R288">
            <v>41.9</v>
          </cell>
        </row>
        <row r="289">
          <cell r="C289" t="str">
            <v>Control</v>
          </cell>
          <cell r="H289">
            <v>1</v>
          </cell>
          <cell r="I289">
            <v>0</v>
          </cell>
          <cell r="J289">
            <v>0</v>
          </cell>
          <cell r="K289">
            <v>0</v>
          </cell>
          <cell r="M289">
            <v>0</v>
          </cell>
          <cell r="N289">
            <v>0</v>
          </cell>
          <cell r="P289">
            <v>0</v>
          </cell>
          <cell r="R289">
            <v>70.2</v>
          </cell>
        </row>
        <row r="290">
          <cell r="C290" t="str">
            <v>Control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M290">
            <v>0</v>
          </cell>
          <cell r="N290">
            <v>0</v>
          </cell>
          <cell r="P290">
            <v>0</v>
          </cell>
          <cell r="R290">
            <v>42.6</v>
          </cell>
        </row>
        <row r="291">
          <cell r="C291" t="str">
            <v>Control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M291">
            <v>0</v>
          </cell>
          <cell r="N291">
            <v>2</v>
          </cell>
          <cell r="P291">
            <v>0</v>
          </cell>
          <cell r="R291">
            <v>30.4</v>
          </cell>
        </row>
        <row r="292">
          <cell r="C292" t="str">
            <v>Control</v>
          </cell>
          <cell r="H292">
            <v>1</v>
          </cell>
          <cell r="I292">
            <v>0</v>
          </cell>
          <cell r="J292">
            <v>0</v>
          </cell>
          <cell r="K292">
            <v>0</v>
          </cell>
          <cell r="M292">
            <v>0</v>
          </cell>
          <cell r="N292">
            <v>0</v>
          </cell>
          <cell r="P292">
            <v>0</v>
          </cell>
          <cell r="R292">
            <v>63.7</v>
          </cell>
        </row>
        <row r="293">
          <cell r="C293" t="str">
            <v>Control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M293">
            <v>0</v>
          </cell>
          <cell r="N293">
            <v>0</v>
          </cell>
          <cell r="P293">
            <v>0</v>
          </cell>
          <cell r="R293">
            <v>42.7</v>
          </cell>
        </row>
        <row r="294">
          <cell r="C294" t="str">
            <v>Control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M294">
            <v>0</v>
          </cell>
          <cell r="N294">
            <v>0</v>
          </cell>
          <cell r="P294">
            <v>0</v>
          </cell>
          <cell r="R294">
            <v>74.3</v>
          </cell>
        </row>
        <row r="295">
          <cell r="C295" t="str">
            <v>Control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M295">
            <v>0</v>
          </cell>
          <cell r="N295">
            <v>0</v>
          </cell>
          <cell r="P295">
            <v>0</v>
          </cell>
          <cell r="R295">
            <v>40.6</v>
          </cell>
        </row>
        <row r="296">
          <cell r="C296" t="str">
            <v>Control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M296">
            <v>0</v>
          </cell>
          <cell r="N296">
            <v>0</v>
          </cell>
          <cell r="P296">
            <v>0</v>
          </cell>
          <cell r="R296">
            <v>67</v>
          </cell>
        </row>
        <row r="297">
          <cell r="C297" t="str">
            <v>Control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M297">
            <v>0</v>
          </cell>
          <cell r="N297">
            <v>0</v>
          </cell>
          <cell r="P297">
            <v>0</v>
          </cell>
          <cell r="R297">
            <v>51</v>
          </cell>
        </row>
        <row r="298">
          <cell r="C298" t="str">
            <v>Control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M298">
            <v>0</v>
          </cell>
          <cell r="N298">
            <v>1</v>
          </cell>
          <cell r="P298">
            <v>0</v>
          </cell>
          <cell r="R298">
            <v>54.8</v>
          </cell>
        </row>
        <row r="299">
          <cell r="C299" t="str">
            <v>Control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M299">
            <v>0</v>
          </cell>
          <cell r="N299">
            <v>0</v>
          </cell>
          <cell r="P299">
            <v>0</v>
          </cell>
          <cell r="R299">
            <v>40.799999999999997</v>
          </cell>
        </row>
        <row r="300">
          <cell r="C300" t="str">
            <v>Control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M300">
            <v>0</v>
          </cell>
          <cell r="N300">
            <v>0</v>
          </cell>
          <cell r="P300">
            <v>0</v>
          </cell>
          <cell r="R300">
            <v>48.8</v>
          </cell>
        </row>
        <row r="301">
          <cell r="C301" t="str">
            <v>Control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M301">
            <v>1198.69</v>
          </cell>
          <cell r="N301">
            <v>1</v>
          </cell>
          <cell r="P301">
            <v>0</v>
          </cell>
          <cell r="Q301">
            <v>6</v>
          </cell>
          <cell r="R301">
            <v>88.9</v>
          </cell>
        </row>
        <row r="302">
          <cell r="C302" t="str">
            <v>Control</v>
          </cell>
          <cell r="H302">
            <v>1</v>
          </cell>
          <cell r="I302">
            <v>1</v>
          </cell>
          <cell r="J302">
            <v>1</v>
          </cell>
          <cell r="K302">
            <v>0</v>
          </cell>
          <cell r="M302">
            <v>0</v>
          </cell>
          <cell r="N302">
            <v>1</v>
          </cell>
          <cell r="P302">
            <v>0</v>
          </cell>
          <cell r="R302">
            <v>60.5</v>
          </cell>
        </row>
        <row r="303">
          <cell r="C303" t="str">
            <v>Control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  <cell r="N303">
            <v>0</v>
          </cell>
          <cell r="P303">
            <v>0</v>
          </cell>
          <cell r="R303">
            <v>63.6</v>
          </cell>
        </row>
        <row r="304">
          <cell r="C304" t="str">
            <v>Control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M304">
            <v>1496.19</v>
          </cell>
          <cell r="N304">
            <v>0</v>
          </cell>
          <cell r="P304">
            <v>0</v>
          </cell>
          <cell r="Q304">
            <v>17</v>
          </cell>
          <cell r="R304">
            <v>58.4</v>
          </cell>
        </row>
        <row r="305">
          <cell r="C305" t="str">
            <v>Control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M305">
            <v>0</v>
          </cell>
          <cell r="N305">
            <v>0</v>
          </cell>
          <cell r="P305">
            <v>0</v>
          </cell>
          <cell r="R305">
            <v>52.7</v>
          </cell>
        </row>
        <row r="306">
          <cell r="C306" t="str">
            <v>Control</v>
          </cell>
          <cell r="H306">
            <v>1</v>
          </cell>
          <cell r="I306">
            <v>1</v>
          </cell>
          <cell r="J306">
            <v>1</v>
          </cell>
          <cell r="K306">
            <v>0</v>
          </cell>
          <cell r="M306">
            <v>0</v>
          </cell>
          <cell r="N306">
            <v>2</v>
          </cell>
          <cell r="P306">
            <v>0</v>
          </cell>
          <cell r="R306">
            <v>48.9</v>
          </cell>
        </row>
        <row r="307">
          <cell r="C307" t="str">
            <v>Control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M307">
            <v>0</v>
          </cell>
          <cell r="N307">
            <v>0</v>
          </cell>
          <cell r="P307">
            <v>0</v>
          </cell>
          <cell r="R307">
            <v>79.7</v>
          </cell>
        </row>
        <row r="308">
          <cell r="C308" t="str">
            <v>Control</v>
          </cell>
          <cell r="H308">
            <v>1</v>
          </cell>
          <cell r="I308">
            <v>0</v>
          </cell>
          <cell r="J308">
            <v>0</v>
          </cell>
          <cell r="K308">
            <v>0</v>
          </cell>
          <cell r="M308">
            <v>0</v>
          </cell>
          <cell r="N308">
            <v>0</v>
          </cell>
          <cell r="P308">
            <v>0</v>
          </cell>
          <cell r="R308">
            <v>44.9</v>
          </cell>
        </row>
        <row r="309">
          <cell r="C309" t="str">
            <v>Control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M309">
            <v>409.39</v>
          </cell>
          <cell r="N309">
            <v>0</v>
          </cell>
          <cell r="P309">
            <v>0</v>
          </cell>
          <cell r="Q309">
            <v>10</v>
          </cell>
          <cell r="R309">
            <v>38.799999999999997</v>
          </cell>
        </row>
        <row r="310">
          <cell r="C310" t="str">
            <v>Control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M310">
            <v>0</v>
          </cell>
          <cell r="N310">
            <v>0</v>
          </cell>
          <cell r="P310">
            <v>0</v>
          </cell>
          <cell r="R310">
            <v>70</v>
          </cell>
        </row>
        <row r="311">
          <cell r="C311" t="str">
            <v>Control</v>
          </cell>
          <cell r="H311">
            <v>1</v>
          </cell>
          <cell r="I311">
            <v>0</v>
          </cell>
          <cell r="J311">
            <v>0</v>
          </cell>
          <cell r="K311">
            <v>0</v>
          </cell>
          <cell r="M311">
            <v>0</v>
          </cell>
          <cell r="N311">
            <v>0</v>
          </cell>
          <cell r="P311">
            <v>0</v>
          </cell>
          <cell r="R311">
            <v>77.7</v>
          </cell>
        </row>
        <row r="312">
          <cell r="C312" t="str">
            <v>Control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M312">
            <v>0</v>
          </cell>
          <cell r="N312">
            <v>0</v>
          </cell>
          <cell r="P312">
            <v>0</v>
          </cell>
          <cell r="R312">
            <v>71.2</v>
          </cell>
        </row>
        <row r="313">
          <cell r="C313" t="str">
            <v>Control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M313">
            <v>0</v>
          </cell>
          <cell r="N313">
            <v>0</v>
          </cell>
          <cell r="P313">
            <v>0</v>
          </cell>
          <cell r="R313">
            <v>43.8</v>
          </cell>
        </row>
        <row r="314">
          <cell r="C314" t="str">
            <v>Control</v>
          </cell>
          <cell r="H314">
            <v>1</v>
          </cell>
          <cell r="I314">
            <v>0</v>
          </cell>
          <cell r="J314">
            <v>0</v>
          </cell>
          <cell r="K314">
            <v>0</v>
          </cell>
          <cell r="M314">
            <v>0</v>
          </cell>
          <cell r="N314">
            <v>0</v>
          </cell>
          <cell r="P314">
            <v>0</v>
          </cell>
          <cell r="R314">
            <v>50.9</v>
          </cell>
        </row>
        <row r="315">
          <cell r="C315" t="str">
            <v>Control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M315">
            <v>0</v>
          </cell>
          <cell r="N315">
            <v>0</v>
          </cell>
          <cell r="P315">
            <v>0</v>
          </cell>
          <cell r="R315">
            <v>58.5</v>
          </cell>
        </row>
        <row r="316">
          <cell r="C316" t="str">
            <v>Control</v>
          </cell>
          <cell r="H316">
            <v>1</v>
          </cell>
          <cell r="I316">
            <v>1</v>
          </cell>
          <cell r="J316">
            <v>1</v>
          </cell>
          <cell r="K316">
            <v>0</v>
          </cell>
          <cell r="M316">
            <v>0</v>
          </cell>
          <cell r="N316">
            <v>0</v>
          </cell>
          <cell r="P316">
            <v>0</v>
          </cell>
          <cell r="R316">
            <v>53.6</v>
          </cell>
        </row>
        <row r="317">
          <cell r="C317" t="str">
            <v>Control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M317">
            <v>0</v>
          </cell>
          <cell r="N317">
            <v>0</v>
          </cell>
          <cell r="P317">
            <v>0</v>
          </cell>
          <cell r="R317">
            <v>54.9</v>
          </cell>
        </row>
        <row r="318">
          <cell r="C318" t="str">
            <v>Control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  <cell r="N318">
            <v>0</v>
          </cell>
          <cell r="P318">
            <v>0</v>
          </cell>
          <cell r="R318">
            <v>57.3</v>
          </cell>
        </row>
        <row r="319">
          <cell r="C319" t="str">
            <v>Control</v>
          </cell>
          <cell r="H319">
            <v>1</v>
          </cell>
          <cell r="I319">
            <v>0</v>
          </cell>
          <cell r="J319">
            <v>0</v>
          </cell>
          <cell r="K319">
            <v>0</v>
          </cell>
          <cell r="M319">
            <v>0</v>
          </cell>
          <cell r="N319">
            <v>0</v>
          </cell>
          <cell r="P319">
            <v>0</v>
          </cell>
          <cell r="R319">
            <v>52.1</v>
          </cell>
        </row>
        <row r="320">
          <cell r="C320" t="str">
            <v>Control</v>
          </cell>
          <cell r="H320">
            <v>1</v>
          </cell>
          <cell r="I320">
            <v>0</v>
          </cell>
          <cell r="J320">
            <v>0</v>
          </cell>
          <cell r="K320">
            <v>0</v>
          </cell>
          <cell r="M320">
            <v>0</v>
          </cell>
          <cell r="N320">
            <v>0</v>
          </cell>
          <cell r="P320">
            <v>0</v>
          </cell>
          <cell r="R320">
            <v>80</v>
          </cell>
        </row>
        <row r="321">
          <cell r="C321" t="str">
            <v>Control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M321">
            <v>0</v>
          </cell>
          <cell r="N321">
            <v>0</v>
          </cell>
          <cell r="P321">
            <v>0</v>
          </cell>
          <cell r="R321">
            <v>39.299999999999997</v>
          </cell>
        </row>
        <row r="322">
          <cell r="C322" t="str">
            <v>Control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M322">
            <v>0</v>
          </cell>
          <cell r="N322">
            <v>0</v>
          </cell>
          <cell r="P322">
            <v>0</v>
          </cell>
          <cell r="R322">
            <v>45.7</v>
          </cell>
        </row>
        <row r="323">
          <cell r="C323" t="str">
            <v>Control</v>
          </cell>
          <cell r="H323">
            <v>1</v>
          </cell>
          <cell r="I323">
            <v>0</v>
          </cell>
          <cell r="J323">
            <v>0</v>
          </cell>
          <cell r="K323">
            <v>0</v>
          </cell>
          <cell r="M323">
            <v>0</v>
          </cell>
          <cell r="N323">
            <v>2</v>
          </cell>
          <cell r="P323">
            <v>0</v>
          </cell>
          <cell r="R323">
            <v>61.2</v>
          </cell>
        </row>
        <row r="324">
          <cell r="C324" t="str">
            <v>Control</v>
          </cell>
          <cell r="H324">
            <v>1</v>
          </cell>
          <cell r="I324">
            <v>1</v>
          </cell>
          <cell r="J324">
            <v>0</v>
          </cell>
          <cell r="K324">
            <v>0</v>
          </cell>
          <cell r="M324">
            <v>0</v>
          </cell>
          <cell r="N324">
            <v>0</v>
          </cell>
          <cell r="P324">
            <v>0</v>
          </cell>
          <cell r="R324">
            <v>66.2</v>
          </cell>
        </row>
        <row r="325">
          <cell r="C325" t="str">
            <v>Control</v>
          </cell>
          <cell r="H325">
            <v>1</v>
          </cell>
          <cell r="I325">
            <v>1</v>
          </cell>
          <cell r="J325">
            <v>1</v>
          </cell>
          <cell r="K325">
            <v>0</v>
          </cell>
          <cell r="M325">
            <v>0</v>
          </cell>
          <cell r="N325">
            <v>0</v>
          </cell>
          <cell r="P325">
            <v>0</v>
          </cell>
          <cell r="R325">
            <v>61.3</v>
          </cell>
        </row>
        <row r="326">
          <cell r="C326" t="str">
            <v>Control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M326">
            <v>0</v>
          </cell>
          <cell r="N326">
            <v>0</v>
          </cell>
          <cell r="P326">
            <v>0</v>
          </cell>
          <cell r="R326">
            <v>72.2</v>
          </cell>
        </row>
        <row r="327">
          <cell r="C327" t="str">
            <v>Control</v>
          </cell>
          <cell r="H327">
            <v>1</v>
          </cell>
          <cell r="I327">
            <v>1</v>
          </cell>
          <cell r="J327">
            <v>1</v>
          </cell>
          <cell r="K327">
            <v>0</v>
          </cell>
          <cell r="M327">
            <v>0</v>
          </cell>
          <cell r="N327">
            <v>0</v>
          </cell>
          <cell r="P327">
            <v>0</v>
          </cell>
          <cell r="R327">
            <v>84</v>
          </cell>
        </row>
        <row r="328">
          <cell r="C328" t="str">
            <v>Control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0</v>
          </cell>
          <cell r="N328">
            <v>0</v>
          </cell>
          <cell r="P328">
            <v>0</v>
          </cell>
          <cell r="R328">
            <v>59.8</v>
          </cell>
        </row>
        <row r="329">
          <cell r="C329" t="str">
            <v>Control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  <cell r="M329">
            <v>0</v>
          </cell>
          <cell r="N329">
            <v>0</v>
          </cell>
          <cell r="P329">
            <v>0</v>
          </cell>
          <cell r="R329">
            <v>64.900000000000006</v>
          </cell>
        </row>
        <row r="330">
          <cell r="C330" t="str">
            <v>Control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M330">
            <v>0</v>
          </cell>
          <cell r="N330">
            <v>0</v>
          </cell>
          <cell r="P330">
            <v>0</v>
          </cell>
          <cell r="R330">
            <v>66.8</v>
          </cell>
        </row>
        <row r="331">
          <cell r="C331" t="str">
            <v>Control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M331">
            <v>0</v>
          </cell>
          <cell r="N331">
            <v>0</v>
          </cell>
          <cell r="P331">
            <v>0</v>
          </cell>
          <cell r="R331">
            <v>70.900000000000006</v>
          </cell>
        </row>
        <row r="332">
          <cell r="C332" t="str">
            <v>Control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M332">
            <v>426.82</v>
          </cell>
          <cell r="N332">
            <v>1</v>
          </cell>
          <cell r="P332">
            <v>0</v>
          </cell>
          <cell r="Q332">
            <v>14</v>
          </cell>
          <cell r="R332">
            <v>68.8</v>
          </cell>
        </row>
        <row r="333">
          <cell r="C333" t="str">
            <v>Control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M333">
            <v>0</v>
          </cell>
          <cell r="N333">
            <v>0</v>
          </cell>
          <cell r="P333">
            <v>0</v>
          </cell>
          <cell r="R333">
            <v>72.400000000000006</v>
          </cell>
        </row>
        <row r="334">
          <cell r="C334" t="str">
            <v>Control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M334">
            <v>0</v>
          </cell>
          <cell r="N334">
            <v>0</v>
          </cell>
          <cell r="P334">
            <v>0</v>
          </cell>
          <cell r="R334">
            <v>63.3</v>
          </cell>
        </row>
        <row r="335">
          <cell r="C335" t="str">
            <v>Control</v>
          </cell>
          <cell r="H335">
            <v>1</v>
          </cell>
          <cell r="I335">
            <v>0</v>
          </cell>
          <cell r="J335">
            <v>0</v>
          </cell>
          <cell r="K335">
            <v>0</v>
          </cell>
          <cell r="M335">
            <v>0</v>
          </cell>
          <cell r="N335">
            <v>0</v>
          </cell>
          <cell r="P335">
            <v>0</v>
          </cell>
          <cell r="R335">
            <v>30.8</v>
          </cell>
        </row>
        <row r="336">
          <cell r="C336" t="str">
            <v>Control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M336">
            <v>874.55</v>
          </cell>
          <cell r="N336">
            <v>0</v>
          </cell>
          <cell r="P336">
            <v>0</v>
          </cell>
          <cell r="Q336">
            <v>9</v>
          </cell>
          <cell r="R336">
            <v>44.2</v>
          </cell>
        </row>
        <row r="337">
          <cell r="C337" t="str">
            <v>Control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M337">
            <v>1496.19</v>
          </cell>
          <cell r="N337">
            <v>0</v>
          </cell>
          <cell r="P337">
            <v>0</v>
          </cell>
          <cell r="Q337">
            <v>10</v>
          </cell>
          <cell r="R337">
            <v>56.2</v>
          </cell>
        </row>
        <row r="338">
          <cell r="C338" t="str">
            <v>Control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M338">
            <v>0</v>
          </cell>
          <cell r="N338">
            <v>0</v>
          </cell>
          <cell r="P338">
            <v>0</v>
          </cell>
          <cell r="R338">
            <v>40.4</v>
          </cell>
        </row>
        <row r="339">
          <cell r="C339" t="str">
            <v>Control</v>
          </cell>
          <cell r="H339">
            <v>1</v>
          </cell>
          <cell r="I339">
            <v>1</v>
          </cell>
          <cell r="J339">
            <v>1</v>
          </cell>
          <cell r="K339">
            <v>0</v>
          </cell>
          <cell r="M339">
            <v>0</v>
          </cell>
          <cell r="N339">
            <v>0</v>
          </cell>
          <cell r="P339">
            <v>0</v>
          </cell>
          <cell r="R339">
            <v>68.099999999999994</v>
          </cell>
        </row>
        <row r="340">
          <cell r="C340" t="str">
            <v>Control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M340">
            <v>0</v>
          </cell>
          <cell r="N340">
            <v>0</v>
          </cell>
          <cell r="P340">
            <v>0</v>
          </cell>
          <cell r="R340">
            <v>86.3</v>
          </cell>
        </row>
        <row r="341">
          <cell r="C341" t="str">
            <v>Control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M341">
            <v>0</v>
          </cell>
          <cell r="N341">
            <v>0</v>
          </cell>
          <cell r="P341">
            <v>0</v>
          </cell>
          <cell r="R341">
            <v>42.9</v>
          </cell>
        </row>
        <row r="342">
          <cell r="C342" t="str">
            <v>Control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M342">
            <v>0</v>
          </cell>
          <cell r="N342">
            <v>0</v>
          </cell>
          <cell r="P342">
            <v>0</v>
          </cell>
          <cell r="R342">
            <v>61.4</v>
          </cell>
        </row>
        <row r="343">
          <cell r="C343" t="str">
            <v>Control</v>
          </cell>
          <cell r="H343">
            <v>1</v>
          </cell>
          <cell r="I343">
            <v>0</v>
          </cell>
          <cell r="J343">
            <v>0</v>
          </cell>
          <cell r="K343">
            <v>0</v>
          </cell>
          <cell r="M343">
            <v>0</v>
          </cell>
          <cell r="N343">
            <v>1</v>
          </cell>
          <cell r="P343">
            <v>0</v>
          </cell>
          <cell r="R343">
            <v>73.3</v>
          </cell>
        </row>
        <row r="344">
          <cell r="C344" t="str">
            <v>Control</v>
          </cell>
          <cell r="H344">
            <v>1</v>
          </cell>
          <cell r="I344">
            <v>0</v>
          </cell>
          <cell r="J344">
            <v>0</v>
          </cell>
          <cell r="K344">
            <v>0</v>
          </cell>
          <cell r="M344">
            <v>0</v>
          </cell>
          <cell r="N344">
            <v>0</v>
          </cell>
          <cell r="P344">
            <v>0</v>
          </cell>
          <cell r="R344">
            <v>59.4</v>
          </cell>
        </row>
        <row r="345">
          <cell r="C345" t="str">
            <v>Control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M345">
            <v>0</v>
          </cell>
          <cell r="N345">
            <v>0</v>
          </cell>
          <cell r="P345">
            <v>0</v>
          </cell>
          <cell r="R345">
            <v>35.200000000000003</v>
          </cell>
        </row>
        <row r="346">
          <cell r="C346" t="str">
            <v>Control</v>
          </cell>
          <cell r="H346">
            <v>1</v>
          </cell>
          <cell r="I346">
            <v>1</v>
          </cell>
          <cell r="J346">
            <v>0</v>
          </cell>
          <cell r="K346">
            <v>0</v>
          </cell>
          <cell r="M346">
            <v>0</v>
          </cell>
          <cell r="N346">
            <v>0</v>
          </cell>
          <cell r="P346">
            <v>0</v>
          </cell>
          <cell r="R346">
            <v>55.3</v>
          </cell>
        </row>
        <row r="347">
          <cell r="C347" t="str">
            <v>Control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0</v>
          </cell>
          <cell r="N347">
            <v>0</v>
          </cell>
          <cell r="P347">
            <v>0</v>
          </cell>
          <cell r="R347">
            <v>37.5</v>
          </cell>
        </row>
        <row r="348">
          <cell r="C348" t="str">
            <v>Control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  <cell r="N348">
            <v>1</v>
          </cell>
          <cell r="P348">
            <v>0</v>
          </cell>
          <cell r="R348">
            <v>66.400000000000006</v>
          </cell>
        </row>
        <row r="349">
          <cell r="C349" t="str">
            <v>Control</v>
          </cell>
          <cell r="H349">
            <v>1</v>
          </cell>
          <cell r="I349">
            <v>0</v>
          </cell>
          <cell r="J349">
            <v>0</v>
          </cell>
          <cell r="K349">
            <v>0</v>
          </cell>
          <cell r="M349">
            <v>0</v>
          </cell>
          <cell r="N349">
            <v>0</v>
          </cell>
          <cell r="P349">
            <v>0</v>
          </cell>
          <cell r="R349">
            <v>61.9</v>
          </cell>
        </row>
        <row r="350">
          <cell r="C350" t="str">
            <v>Control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M350">
            <v>0</v>
          </cell>
          <cell r="N350">
            <v>0</v>
          </cell>
          <cell r="P350">
            <v>0</v>
          </cell>
          <cell r="R350">
            <v>56</v>
          </cell>
        </row>
        <row r="351">
          <cell r="C351" t="str">
            <v>Control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M351">
            <v>0</v>
          </cell>
          <cell r="N351">
            <v>0</v>
          </cell>
          <cell r="P351">
            <v>0</v>
          </cell>
          <cell r="R351">
            <v>55.5</v>
          </cell>
        </row>
        <row r="352">
          <cell r="C352" t="str">
            <v>Control</v>
          </cell>
          <cell r="H352">
            <v>1</v>
          </cell>
          <cell r="I352">
            <v>0</v>
          </cell>
          <cell r="J352">
            <v>0</v>
          </cell>
          <cell r="K352">
            <v>0</v>
          </cell>
          <cell r="M352">
            <v>0</v>
          </cell>
          <cell r="N352">
            <v>0</v>
          </cell>
          <cell r="P352">
            <v>0</v>
          </cell>
          <cell r="R352">
            <v>37.200000000000003</v>
          </cell>
        </row>
        <row r="353">
          <cell r="C353" t="str">
            <v>Control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M353">
            <v>0</v>
          </cell>
          <cell r="N353">
            <v>1</v>
          </cell>
          <cell r="P353">
            <v>0</v>
          </cell>
          <cell r="R353">
            <v>70.5</v>
          </cell>
        </row>
        <row r="354">
          <cell r="C354" t="str">
            <v>Control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M354">
            <v>0</v>
          </cell>
          <cell r="N354">
            <v>0</v>
          </cell>
          <cell r="P354">
            <v>0</v>
          </cell>
          <cell r="R354">
            <v>61.2</v>
          </cell>
        </row>
        <row r="355">
          <cell r="C355" t="str">
            <v>Control</v>
          </cell>
          <cell r="H355">
            <v>1</v>
          </cell>
          <cell r="I355">
            <v>1</v>
          </cell>
          <cell r="J355">
            <v>1</v>
          </cell>
          <cell r="K355">
            <v>0</v>
          </cell>
          <cell r="M355">
            <v>0</v>
          </cell>
          <cell r="N355">
            <v>0</v>
          </cell>
          <cell r="P355">
            <v>0</v>
          </cell>
          <cell r="R355">
            <v>64.599999999999994</v>
          </cell>
        </row>
        <row r="356">
          <cell r="C356" t="str">
            <v>Control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M356">
            <v>0</v>
          </cell>
          <cell r="N356">
            <v>0</v>
          </cell>
          <cell r="P356">
            <v>0</v>
          </cell>
          <cell r="R356">
            <v>91.7</v>
          </cell>
        </row>
        <row r="357">
          <cell r="C357" t="str">
            <v>Control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M357">
            <v>0</v>
          </cell>
          <cell r="N357">
            <v>0</v>
          </cell>
          <cell r="P357">
            <v>0</v>
          </cell>
          <cell r="R357">
            <v>46</v>
          </cell>
        </row>
        <row r="358">
          <cell r="C358" t="str">
            <v>Control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M358">
            <v>0</v>
          </cell>
          <cell r="N358">
            <v>0</v>
          </cell>
          <cell r="P358">
            <v>0</v>
          </cell>
          <cell r="R358">
            <v>50.8</v>
          </cell>
        </row>
        <row r="359">
          <cell r="C359" t="str">
            <v>Control</v>
          </cell>
          <cell r="H359">
            <v>1</v>
          </cell>
          <cell r="I359">
            <v>1</v>
          </cell>
          <cell r="J359">
            <v>1</v>
          </cell>
          <cell r="K359">
            <v>0</v>
          </cell>
          <cell r="M359">
            <v>0</v>
          </cell>
          <cell r="N359">
            <v>0</v>
          </cell>
          <cell r="P359">
            <v>0</v>
          </cell>
          <cell r="R359">
            <v>52.8</v>
          </cell>
        </row>
        <row r="360">
          <cell r="C360" t="str">
            <v>Control</v>
          </cell>
          <cell r="H360">
            <v>1</v>
          </cell>
          <cell r="I360">
            <v>1</v>
          </cell>
          <cell r="J360">
            <v>1</v>
          </cell>
          <cell r="K360">
            <v>0</v>
          </cell>
          <cell r="M360">
            <v>0</v>
          </cell>
          <cell r="N360">
            <v>0</v>
          </cell>
          <cell r="P360">
            <v>0</v>
          </cell>
          <cell r="R360">
            <v>63</v>
          </cell>
        </row>
        <row r="361">
          <cell r="C361" t="str">
            <v>Control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M361">
            <v>0</v>
          </cell>
          <cell r="N361">
            <v>0</v>
          </cell>
          <cell r="P361">
            <v>0</v>
          </cell>
          <cell r="R361">
            <v>28.4</v>
          </cell>
        </row>
        <row r="362">
          <cell r="C362" t="str">
            <v>Control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M362">
            <v>0</v>
          </cell>
          <cell r="N362">
            <v>0</v>
          </cell>
          <cell r="P362">
            <v>0</v>
          </cell>
          <cell r="R362">
            <v>65.599999999999994</v>
          </cell>
        </row>
        <row r="363">
          <cell r="C363" t="str">
            <v>Control</v>
          </cell>
          <cell r="H363">
            <v>1</v>
          </cell>
          <cell r="I363">
            <v>1</v>
          </cell>
          <cell r="J363">
            <v>1</v>
          </cell>
          <cell r="K363">
            <v>0</v>
          </cell>
          <cell r="M363">
            <v>0</v>
          </cell>
          <cell r="N363">
            <v>0</v>
          </cell>
          <cell r="P363">
            <v>0</v>
          </cell>
          <cell r="R363">
            <v>54.7</v>
          </cell>
        </row>
        <row r="364">
          <cell r="C364" t="str">
            <v>Control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M364">
            <v>0</v>
          </cell>
          <cell r="N364">
            <v>0</v>
          </cell>
          <cell r="P364">
            <v>0</v>
          </cell>
          <cell r="R364">
            <v>36.1</v>
          </cell>
        </row>
        <row r="365">
          <cell r="C365" t="str">
            <v>Control</v>
          </cell>
          <cell r="H365">
            <v>1</v>
          </cell>
          <cell r="I365">
            <v>1</v>
          </cell>
          <cell r="J365">
            <v>1</v>
          </cell>
          <cell r="K365">
            <v>0</v>
          </cell>
          <cell r="M365">
            <v>0</v>
          </cell>
          <cell r="N365">
            <v>0</v>
          </cell>
          <cell r="P365">
            <v>0</v>
          </cell>
          <cell r="R365">
            <v>70.400000000000006</v>
          </cell>
        </row>
        <row r="366">
          <cell r="C366" t="str">
            <v>Control</v>
          </cell>
          <cell r="H366">
            <v>1</v>
          </cell>
          <cell r="I366">
            <v>0</v>
          </cell>
          <cell r="J366">
            <v>0</v>
          </cell>
          <cell r="K366">
            <v>0</v>
          </cell>
          <cell r="M366">
            <v>0</v>
          </cell>
          <cell r="N366">
            <v>0</v>
          </cell>
          <cell r="P366">
            <v>0</v>
          </cell>
          <cell r="R366">
            <v>56.4</v>
          </cell>
        </row>
        <row r="367">
          <cell r="C367" t="str">
            <v>Control</v>
          </cell>
          <cell r="H367">
            <v>1</v>
          </cell>
          <cell r="I367">
            <v>0</v>
          </cell>
          <cell r="J367">
            <v>0</v>
          </cell>
          <cell r="K367">
            <v>0</v>
          </cell>
          <cell r="M367">
            <v>0</v>
          </cell>
          <cell r="N367">
            <v>0</v>
          </cell>
          <cell r="P367">
            <v>0</v>
          </cell>
          <cell r="R367">
            <v>79.2</v>
          </cell>
        </row>
        <row r="368">
          <cell r="C368" t="str">
            <v>Control</v>
          </cell>
          <cell r="H368">
            <v>1</v>
          </cell>
          <cell r="I368">
            <v>1</v>
          </cell>
          <cell r="J368">
            <v>1</v>
          </cell>
          <cell r="K368">
            <v>0</v>
          </cell>
          <cell r="M368">
            <v>0</v>
          </cell>
          <cell r="N368">
            <v>0</v>
          </cell>
          <cell r="P368">
            <v>0</v>
          </cell>
          <cell r="R368">
            <v>60.1</v>
          </cell>
        </row>
        <row r="369">
          <cell r="C369" t="str">
            <v>Control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M369">
            <v>0</v>
          </cell>
          <cell r="N369">
            <v>0</v>
          </cell>
          <cell r="P369">
            <v>0</v>
          </cell>
          <cell r="R369">
            <v>58</v>
          </cell>
        </row>
        <row r="370">
          <cell r="C370" t="str">
            <v>Control</v>
          </cell>
          <cell r="H370">
            <v>1</v>
          </cell>
          <cell r="I370">
            <v>1</v>
          </cell>
          <cell r="J370">
            <v>1</v>
          </cell>
          <cell r="K370">
            <v>0</v>
          </cell>
          <cell r="M370">
            <v>0</v>
          </cell>
          <cell r="N370">
            <v>0</v>
          </cell>
          <cell r="P370">
            <v>0</v>
          </cell>
          <cell r="R370">
            <v>69</v>
          </cell>
        </row>
        <row r="371">
          <cell r="C371" t="str">
            <v>Control</v>
          </cell>
          <cell r="H371">
            <v>1</v>
          </cell>
          <cell r="I371">
            <v>1</v>
          </cell>
          <cell r="J371">
            <v>1</v>
          </cell>
          <cell r="K371">
            <v>0</v>
          </cell>
          <cell r="M371">
            <v>0</v>
          </cell>
          <cell r="N371">
            <v>1</v>
          </cell>
          <cell r="P371">
            <v>0</v>
          </cell>
          <cell r="R371">
            <v>80.8</v>
          </cell>
        </row>
        <row r="372">
          <cell r="C372" t="str">
            <v>Control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M372">
            <v>0</v>
          </cell>
          <cell r="N372">
            <v>0</v>
          </cell>
          <cell r="P372">
            <v>0</v>
          </cell>
          <cell r="R372">
            <v>32.799999999999997</v>
          </cell>
        </row>
        <row r="373">
          <cell r="C373" t="str">
            <v>Control</v>
          </cell>
          <cell r="H373">
            <v>1</v>
          </cell>
          <cell r="I373">
            <v>0</v>
          </cell>
          <cell r="J373">
            <v>0</v>
          </cell>
          <cell r="K373">
            <v>0</v>
          </cell>
          <cell r="M373">
            <v>0</v>
          </cell>
          <cell r="N373">
            <v>0</v>
          </cell>
          <cell r="P373">
            <v>0</v>
          </cell>
          <cell r="R373">
            <v>56</v>
          </cell>
        </row>
        <row r="374">
          <cell r="C374" t="str">
            <v>Control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M374">
            <v>0</v>
          </cell>
          <cell r="N374">
            <v>0</v>
          </cell>
          <cell r="P374">
            <v>0</v>
          </cell>
          <cell r="R374">
            <v>76.400000000000006</v>
          </cell>
        </row>
        <row r="375">
          <cell r="C375" t="str">
            <v>Control</v>
          </cell>
          <cell r="H375">
            <v>1</v>
          </cell>
          <cell r="I375">
            <v>0</v>
          </cell>
          <cell r="J375">
            <v>0</v>
          </cell>
          <cell r="K375">
            <v>0</v>
          </cell>
          <cell r="M375">
            <v>0</v>
          </cell>
          <cell r="N375">
            <v>0</v>
          </cell>
          <cell r="P375">
            <v>0</v>
          </cell>
          <cell r="R375">
            <v>28.5</v>
          </cell>
        </row>
        <row r="376">
          <cell r="C376" t="str">
            <v>Control</v>
          </cell>
          <cell r="H376">
            <v>1</v>
          </cell>
          <cell r="I376">
            <v>1</v>
          </cell>
          <cell r="J376">
            <v>1</v>
          </cell>
          <cell r="K376">
            <v>0</v>
          </cell>
          <cell r="M376">
            <v>0</v>
          </cell>
          <cell r="N376">
            <v>0</v>
          </cell>
          <cell r="P376">
            <v>0</v>
          </cell>
          <cell r="R376">
            <v>48.3</v>
          </cell>
        </row>
        <row r="377">
          <cell r="C377" t="str">
            <v>Control</v>
          </cell>
          <cell r="H377">
            <v>1</v>
          </cell>
          <cell r="I377">
            <v>1</v>
          </cell>
          <cell r="J377">
            <v>0</v>
          </cell>
          <cell r="K377">
            <v>0</v>
          </cell>
          <cell r="M377">
            <v>0</v>
          </cell>
          <cell r="N377">
            <v>0</v>
          </cell>
          <cell r="P377">
            <v>0</v>
          </cell>
          <cell r="R377">
            <v>43.4</v>
          </cell>
        </row>
        <row r="378">
          <cell r="C378" t="str">
            <v>Control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0</v>
          </cell>
          <cell r="N378">
            <v>0</v>
          </cell>
          <cell r="P378">
            <v>0</v>
          </cell>
          <cell r="R378">
            <v>43</v>
          </cell>
        </row>
        <row r="379">
          <cell r="C379" t="str">
            <v>Control</v>
          </cell>
          <cell r="H379">
            <v>1</v>
          </cell>
          <cell r="I379">
            <v>1</v>
          </cell>
          <cell r="J379">
            <v>1</v>
          </cell>
          <cell r="K379">
            <v>0</v>
          </cell>
          <cell r="M379">
            <v>0</v>
          </cell>
          <cell r="N379">
            <v>0</v>
          </cell>
          <cell r="P379">
            <v>0</v>
          </cell>
          <cell r="R379">
            <v>91.8</v>
          </cell>
        </row>
        <row r="380">
          <cell r="C380" t="str">
            <v>Control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M380">
            <v>0</v>
          </cell>
          <cell r="N380">
            <v>1</v>
          </cell>
          <cell r="P380">
            <v>0</v>
          </cell>
          <cell r="R380">
            <v>69.3</v>
          </cell>
        </row>
        <row r="381">
          <cell r="C381" t="str">
            <v>Control</v>
          </cell>
          <cell r="H381">
            <v>1</v>
          </cell>
          <cell r="I381">
            <v>0</v>
          </cell>
          <cell r="J381">
            <v>0</v>
          </cell>
          <cell r="K381">
            <v>0</v>
          </cell>
          <cell r="M381">
            <v>0</v>
          </cell>
          <cell r="N381">
            <v>0</v>
          </cell>
          <cell r="P381">
            <v>0</v>
          </cell>
          <cell r="R381">
            <v>58.9</v>
          </cell>
        </row>
        <row r="382">
          <cell r="C382" t="str">
            <v>Control</v>
          </cell>
          <cell r="H382">
            <v>1</v>
          </cell>
          <cell r="I382">
            <v>1</v>
          </cell>
          <cell r="J382">
            <v>1</v>
          </cell>
          <cell r="K382">
            <v>0</v>
          </cell>
          <cell r="M382">
            <v>0</v>
          </cell>
          <cell r="N382">
            <v>0</v>
          </cell>
          <cell r="P382">
            <v>0</v>
          </cell>
          <cell r="R382">
            <v>76</v>
          </cell>
        </row>
        <row r="383">
          <cell r="C383" t="str">
            <v>Control</v>
          </cell>
          <cell r="H383">
            <v>1</v>
          </cell>
          <cell r="I383">
            <v>0</v>
          </cell>
          <cell r="J383">
            <v>0</v>
          </cell>
          <cell r="K383">
            <v>0</v>
          </cell>
          <cell r="M383">
            <v>0</v>
          </cell>
          <cell r="N383">
            <v>0</v>
          </cell>
          <cell r="P383">
            <v>0</v>
          </cell>
          <cell r="R383">
            <v>46</v>
          </cell>
        </row>
        <row r="384">
          <cell r="C384" t="str">
            <v>Control</v>
          </cell>
          <cell r="H384">
            <v>1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P384">
            <v>0</v>
          </cell>
          <cell r="R384">
            <v>54.1</v>
          </cell>
        </row>
        <row r="385">
          <cell r="C385" t="str">
            <v>Control</v>
          </cell>
          <cell r="H385">
            <v>1</v>
          </cell>
          <cell r="I385">
            <v>0</v>
          </cell>
          <cell r="J385">
            <v>0</v>
          </cell>
          <cell r="K385">
            <v>0</v>
          </cell>
          <cell r="M385">
            <v>0</v>
          </cell>
          <cell r="N385">
            <v>0</v>
          </cell>
          <cell r="P385">
            <v>0</v>
          </cell>
          <cell r="R385">
            <v>82.4</v>
          </cell>
        </row>
        <row r="386">
          <cell r="C386" t="str">
            <v>Control</v>
          </cell>
          <cell r="H386">
            <v>1</v>
          </cell>
          <cell r="I386">
            <v>1</v>
          </cell>
          <cell r="J386">
            <v>1</v>
          </cell>
          <cell r="K386">
            <v>0</v>
          </cell>
          <cell r="M386">
            <v>0</v>
          </cell>
          <cell r="N386">
            <v>0</v>
          </cell>
          <cell r="P386">
            <v>0</v>
          </cell>
          <cell r="R386">
            <v>71.900000000000006</v>
          </cell>
        </row>
        <row r="387">
          <cell r="C387" t="str">
            <v>Control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M387">
            <v>0</v>
          </cell>
          <cell r="N387">
            <v>2</v>
          </cell>
          <cell r="P387">
            <v>0</v>
          </cell>
          <cell r="R387">
            <v>38</v>
          </cell>
        </row>
        <row r="388">
          <cell r="C388" t="str">
            <v>Control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M388">
            <v>0</v>
          </cell>
          <cell r="N388">
            <v>0</v>
          </cell>
          <cell r="P388">
            <v>0</v>
          </cell>
          <cell r="R388">
            <v>43.7</v>
          </cell>
        </row>
        <row r="389">
          <cell r="C389" t="str">
            <v>Control</v>
          </cell>
          <cell r="H389">
            <v>1</v>
          </cell>
          <cell r="I389">
            <v>0</v>
          </cell>
          <cell r="J389">
            <v>0</v>
          </cell>
          <cell r="K389">
            <v>0</v>
          </cell>
          <cell r="M389">
            <v>0</v>
          </cell>
          <cell r="N389">
            <v>1</v>
          </cell>
          <cell r="P389">
            <v>0</v>
          </cell>
          <cell r="R389">
            <v>32.200000000000003</v>
          </cell>
        </row>
        <row r="390">
          <cell r="C390" t="str">
            <v>Control</v>
          </cell>
          <cell r="H390">
            <v>1</v>
          </cell>
          <cell r="I390">
            <v>0</v>
          </cell>
          <cell r="J390">
            <v>0</v>
          </cell>
          <cell r="K390">
            <v>0</v>
          </cell>
          <cell r="M390">
            <v>0</v>
          </cell>
          <cell r="N390">
            <v>0</v>
          </cell>
          <cell r="P390">
            <v>0</v>
          </cell>
          <cell r="R390">
            <v>61</v>
          </cell>
        </row>
        <row r="391">
          <cell r="C391" t="str">
            <v>Control</v>
          </cell>
          <cell r="H391">
            <v>1</v>
          </cell>
          <cell r="I391">
            <v>0</v>
          </cell>
          <cell r="J391">
            <v>0</v>
          </cell>
          <cell r="K391">
            <v>0</v>
          </cell>
          <cell r="M391">
            <v>0</v>
          </cell>
          <cell r="N391">
            <v>0</v>
          </cell>
          <cell r="P391">
            <v>0</v>
          </cell>
          <cell r="R391">
            <v>49</v>
          </cell>
        </row>
        <row r="392">
          <cell r="C392" t="str">
            <v>Control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M392">
            <v>0</v>
          </cell>
          <cell r="N392">
            <v>0</v>
          </cell>
          <cell r="P392">
            <v>0</v>
          </cell>
          <cell r="R392">
            <v>48.1</v>
          </cell>
        </row>
        <row r="393">
          <cell r="C393" t="str">
            <v>Control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M393">
            <v>0</v>
          </cell>
          <cell r="N393">
            <v>2</v>
          </cell>
          <cell r="P393">
            <v>0</v>
          </cell>
          <cell r="R393">
            <v>46.3</v>
          </cell>
        </row>
        <row r="394">
          <cell r="C394" t="str">
            <v>Control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M394">
            <v>0</v>
          </cell>
          <cell r="N394">
            <v>0</v>
          </cell>
          <cell r="P394">
            <v>0</v>
          </cell>
          <cell r="R394">
            <v>64</v>
          </cell>
        </row>
        <row r="395">
          <cell r="C395" t="str">
            <v>Control</v>
          </cell>
          <cell r="H395">
            <v>1</v>
          </cell>
          <cell r="I395">
            <v>1</v>
          </cell>
          <cell r="J395">
            <v>0</v>
          </cell>
          <cell r="K395">
            <v>0</v>
          </cell>
          <cell r="M395">
            <v>0</v>
          </cell>
          <cell r="N395">
            <v>0</v>
          </cell>
          <cell r="P395">
            <v>0</v>
          </cell>
          <cell r="R395">
            <v>56.2</v>
          </cell>
        </row>
        <row r="396">
          <cell r="C396" t="str">
            <v>Control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M396">
            <v>0</v>
          </cell>
          <cell r="N396">
            <v>0</v>
          </cell>
          <cell r="P396">
            <v>0</v>
          </cell>
          <cell r="R396">
            <v>77.5</v>
          </cell>
        </row>
        <row r="397">
          <cell r="C397" t="str">
            <v>Control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M397">
            <v>0</v>
          </cell>
          <cell r="N397">
            <v>0</v>
          </cell>
          <cell r="P397">
            <v>0</v>
          </cell>
          <cell r="R397">
            <v>59.9</v>
          </cell>
        </row>
        <row r="398">
          <cell r="C398" t="str">
            <v>Control</v>
          </cell>
          <cell r="H398">
            <v>1</v>
          </cell>
          <cell r="I398">
            <v>1</v>
          </cell>
          <cell r="J398">
            <v>0</v>
          </cell>
          <cell r="K398">
            <v>0</v>
          </cell>
          <cell r="M398">
            <v>0</v>
          </cell>
          <cell r="N398">
            <v>0</v>
          </cell>
          <cell r="P398">
            <v>0</v>
          </cell>
          <cell r="R398">
            <v>63</v>
          </cell>
        </row>
        <row r="399">
          <cell r="C399" t="str">
            <v>Control</v>
          </cell>
          <cell r="H399">
            <v>1</v>
          </cell>
          <cell r="I399">
            <v>1</v>
          </cell>
          <cell r="J399">
            <v>0</v>
          </cell>
          <cell r="K399">
            <v>0</v>
          </cell>
          <cell r="M399">
            <v>0</v>
          </cell>
          <cell r="N399">
            <v>0</v>
          </cell>
          <cell r="P399">
            <v>0</v>
          </cell>
          <cell r="R399">
            <v>76.5</v>
          </cell>
        </row>
        <row r="400">
          <cell r="C400" t="str">
            <v>Control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M400">
            <v>0</v>
          </cell>
          <cell r="N400">
            <v>0</v>
          </cell>
          <cell r="P400">
            <v>0</v>
          </cell>
          <cell r="R400">
            <v>39.700000000000003</v>
          </cell>
        </row>
        <row r="401">
          <cell r="C401" t="str">
            <v>Control</v>
          </cell>
          <cell r="H401">
            <v>1</v>
          </cell>
          <cell r="I401">
            <v>1</v>
          </cell>
          <cell r="J401">
            <v>0</v>
          </cell>
          <cell r="K401">
            <v>0</v>
          </cell>
          <cell r="M401">
            <v>0</v>
          </cell>
          <cell r="N401">
            <v>0</v>
          </cell>
          <cell r="P401">
            <v>0</v>
          </cell>
          <cell r="R401">
            <v>80.2</v>
          </cell>
        </row>
        <row r="402">
          <cell r="C402" t="str">
            <v>Control</v>
          </cell>
          <cell r="H402">
            <v>1</v>
          </cell>
          <cell r="I402">
            <v>0</v>
          </cell>
          <cell r="J402">
            <v>0</v>
          </cell>
          <cell r="K402">
            <v>0</v>
          </cell>
          <cell r="M402">
            <v>0</v>
          </cell>
          <cell r="N402">
            <v>0</v>
          </cell>
          <cell r="P402">
            <v>0</v>
          </cell>
          <cell r="R402">
            <v>72.2</v>
          </cell>
        </row>
        <row r="403">
          <cell r="C403" t="str">
            <v>Control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M403">
            <v>0</v>
          </cell>
          <cell r="N403">
            <v>0</v>
          </cell>
          <cell r="P403">
            <v>0</v>
          </cell>
          <cell r="R403">
            <v>56</v>
          </cell>
        </row>
        <row r="404">
          <cell r="C404" t="str">
            <v>Control</v>
          </cell>
          <cell r="H404">
            <v>1</v>
          </cell>
          <cell r="I404">
            <v>1</v>
          </cell>
          <cell r="J404">
            <v>1</v>
          </cell>
          <cell r="K404">
            <v>0</v>
          </cell>
          <cell r="M404">
            <v>0</v>
          </cell>
          <cell r="N404">
            <v>0</v>
          </cell>
          <cell r="P404">
            <v>0</v>
          </cell>
          <cell r="R404">
            <v>69.099999999999994</v>
          </cell>
        </row>
        <row r="405">
          <cell r="C405" t="str">
            <v>Control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M405">
            <v>0</v>
          </cell>
          <cell r="N405">
            <v>1</v>
          </cell>
          <cell r="P405">
            <v>0</v>
          </cell>
          <cell r="R405">
            <v>70.599999999999994</v>
          </cell>
        </row>
        <row r="406">
          <cell r="C406" t="str">
            <v>Control</v>
          </cell>
          <cell r="H406">
            <v>1</v>
          </cell>
          <cell r="I406">
            <v>0</v>
          </cell>
          <cell r="J406">
            <v>0</v>
          </cell>
          <cell r="K406">
            <v>0</v>
          </cell>
          <cell r="M406">
            <v>0</v>
          </cell>
          <cell r="N406">
            <v>0</v>
          </cell>
          <cell r="P406">
            <v>0</v>
          </cell>
          <cell r="R406">
            <v>57.9</v>
          </cell>
        </row>
        <row r="407">
          <cell r="C407" t="str">
            <v>Control</v>
          </cell>
          <cell r="H407">
            <v>1</v>
          </cell>
          <cell r="I407">
            <v>1</v>
          </cell>
          <cell r="J407">
            <v>0</v>
          </cell>
          <cell r="K407">
            <v>0</v>
          </cell>
          <cell r="M407">
            <v>0</v>
          </cell>
          <cell r="N407">
            <v>0</v>
          </cell>
          <cell r="P407">
            <v>0</v>
          </cell>
          <cell r="R407">
            <v>41.4</v>
          </cell>
        </row>
        <row r="408">
          <cell r="C408" t="str">
            <v>Control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M408">
            <v>0</v>
          </cell>
          <cell r="N408">
            <v>0</v>
          </cell>
          <cell r="P408">
            <v>0</v>
          </cell>
          <cell r="R408">
            <v>60.9</v>
          </cell>
        </row>
        <row r="409">
          <cell r="C409" t="str">
            <v>Control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M409">
            <v>0</v>
          </cell>
          <cell r="N409">
            <v>1</v>
          </cell>
          <cell r="P409">
            <v>0</v>
          </cell>
          <cell r="R409">
            <v>63.8</v>
          </cell>
        </row>
        <row r="410">
          <cell r="C410" t="str">
            <v>Control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M410">
            <v>0</v>
          </cell>
          <cell r="N410">
            <v>0</v>
          </cell>
          <cell r="P410">
            <v>0</v>
          </cell>
          <cell r="R410">
            <v>79.2</v>
          </cell>
        </row>
        <row r="411">
          <cell r="C411" t="str">
            <v>Control</v>
          </cell>
          <cell r="H411">
            <v>1</v>
          </cell>
          <cell r="I411">
            <v>1</v>
          </cell>
          <cell r="J411">
            <v>1</v>
          </cell>
          <cell r="K411">
            <v>0</v>
          </cell>
          <cell r="M411">
            <v>0</v>
          </cell>
          <cell r="N411">
            <v>0</v>
          </cell>
          <cell r="P411">
            <v>0</v>
          </cell>
          <cell r="R411">
            <v>53.3</v>
          </cell>
        </row>
        <row r="412">
          <cell r="C412" t="str">
            <v>Control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M412">
            <v>1496.19</v>
          </cell>
          <cell r="N412">
            <v>0</v>
          </cell>
          <cell r="P412">
            <v>0</v>
          </cell>
          <cell r="Q412">
            <v>6</v>
          </cell>
          <cell r="R412">
            <v>52.3</v>
          </cell>
        </row>
        <row r="413">
          <cell r="C413" t="str">
            <v>Control</v>
          </cell>
          <cell r="H413">
            <v>1</v>
          </cell>
          <cell r="I413">
            <v>1</v>
          </cell>
          <cell r="J413">
            <v>0</v>
          </cell>
          <cell r="K413">
            <v>0</v>
          </cell>
          <cell r="M413">
            <v>0</v>
          </cell>
          <cell r="N413">
            <v>0</v>
          </cell>
          <cell r="P413">
            <v>0</v>
          </cell>
          <cell r="R413">
            <v>62.4</v>
          </cell>
        </row>
        <row r="414">
          <cell r="C414" t="str">
            <v>Control</v>
          </cell>
          <cell r="H414">
            <v>1</v>
          </cell>
          <cell r="I414">
            <v>0</v>
          </cell>
          <cell r="J414">
            <v>0</v>
          </cell>
          <cell r="K414">
            <v>0</v>
          </cell>
          <cell r="M414">
            <v>0</v>
          </cell>
          <cell r="N414">
            <v>0</v>
          </cell>
          <cell r="P414">
            <v>0</v>
          </cell>
          <cell r="R414">
            <v>45.5</v>
          </cell>
        </row>
        <row r="415">
          <cell r="C415" t="str">
            <v>Control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M415">
            <v>0</v>
          </cell>
          <cell r="N415">
            <v>1</v>
          </cell>
          <cell r="P415">
            <v>0</v>
          </cell>
          <cell r="R415">
            <v>72.599999999999994</v>
          </cell>
        </row>
        <row r="416">
          <cell r="C416" t="str">
            <v>Control</v>
          </cell>
          <cell r="H416">
            <v>1</v>
          </cell>
          <cell r="I416">
            <v>1</v>
          </cell>
          <cell r="J416">
            <v>1</v>
          </cell>
          <cell r="K416">
            <v>0</v>
          </cell>
          <cell r="M416">
            <v>0</v>
          </cell>
          <cell r="N416">
            <v>0</v>
          </cell>
          <cell r="P416">
            <v>0</v>
          </cell>
          <cell r="R416">
            <v>50.1</v>
          </cell>
        </row>
        <row r="417">
          <cell r="C417" t="str">
            <v>Control</v>
          </cell>
          <cell r="H417">
            <v>1</v>
          </cell>
          <cell r="I417">
            <v>1</v>
          </cell>
          <cell r="J417">
            <v>1</v>
          </cell>
          <cell r="K417">
            <v>0</v>
          </cell>
          <cell r="M417">
            <v>0</v>
          </cell>
          <cell r="N417">
            <v>2</v>
          </cell>
          <cell r="P417">
            <v>0</v>
          </cell>
          <cell r="R417">
            <v>58.1</v>
          </cell>
        </row>
        <row r="418">
          <cell r="C418" t="str">
            <v>Control</v>
          </cell>
          <cell r="H418">
            <v>1</v>
          </cell>
          <cell r="I418">
            <v>0</v>
          </cell>
          <cell r="J418">
            <v>0</v>
          </cell>
          <cell r="K418">
            <v>0</v>
          </cell>
          <cell r="M418">
            <v>0</v>
          </cell>
          <cell r="N418">
            <v>0</v>
          </cell>
          <cell r="P418">
            <v>0</v>
          </cell>
          <cell r="R418">
            <v>42.9</v>
          </cell>
        </row>
        <row r="419">
          <cell r="C419" t="str">
            <v>Control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M419">
            <v>0</v>
          </cell>
          <cell r="N419">
            <v>0</v>
          </cell>
          <cell r="P419">
            <v>0</v>
          </cell>
          <cell r="R419">
            <v>69.7</v>
          </cell>
        </row>
        <row r="420">
          <cell r="C420" t="str">
            <v>Control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M420">
            <v>0</v>
          </cell>
          <cell r="N420">
            <v>0</v>
          </cell>
          <cell r="P420">
            <v>0</v>
          </cell>
          <cell r="R420">
            <v>63.3</v>
          </cell>
        </row>
        <row r="421">
          <cell r="C421" t="str">
            <v>Control</v>
          </cell>
          <cell r="H421">
            <v>1</v>
          </cell>
          <cell r="I421">
            <v>0</v>
          </cell>
          <cell r="J421">
            <v>0</v>
          </cell>
          <cell r="K421">
            <v>0</v>
          </cell>
          <cell r="M421">
            <v>0</v>
          </cell>
          <cell r="N421">
            <v>0</v>
          </cell>
          <cell r="P421">
            <v>0</v>
          </cell>
          <cell r="R421">
            <v>71.2</v>
          </cell>
        </row>
        <row r="422">
          <cell r="C422" t="str">
            <v>Control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M422">
            <v>0</v>
          </cell>
          <cell r="N422">
            <v>0</v>
          </cell>
          <cell r="P422">
            <v>0</v>
          </cell>
          <cell r="R422">
            <v>39.1</v>
          </cell>
        </row>
        <row r="423">
          <cell r="C423" t="str">
            <v>Control</v>
          </cell>
          <cell r="H423">
            <v>1</v>
          </cell>
          <cell r="I423">
            <v>0</v>
          </cell>
          <cell r="J423">
            <v>0</v>
          </cell>
          <cell r="K423">
            <v>0</v>
          </cell>
          <cell r="M423">
            <v>0</v>
          </cell>
          <cell r="N423">
            <v>0</v>
          </cell>
          <cell r="P423">
            <v>0</v>
          </cell>
          <cell r="R423">
            <v>42.6</v>
          </cell>
        </row>
        <row r="424">
          <cell r="C424" t="str">
            <v>Control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M424">
            <v>0</v>
          </cell>
          <cell r="N424">
            <v>0</v>
          </cell>
          <cell r="P424">
            <v>0</v>
          </cell>
          <cell r="R424">
            <v>74.400000000000006</v>
          </cell>
        </row>
        <row r="425">
          <cell r="C425" t="str">
            <v>Control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M425">
            <v>0</v>
          </cell>
          <cell r="N425">
            <v>0</v>
          </cell>
          <cell r="P425">
            <v>0</v>
          </cell>
          <cell r="R425">
            <v>55.6</v>
          </cell>
        </row>
        <row r="426">
          <cell r="C426" t="str">
            <v>Control</v>
          </cell>
          <cell r="H426">
            <v>1</v>
          </cell>
          <cell r="I426">
            <v>0</v>
          </cell>
          <cell r="J426">
            <v>0</v>
          </cell>
          <cell r="K426">
            <v>0</v>
          </cell>
          <cell r="M426">
            <v>0</v>
          </cell>
          <cell r="N426">
            <v>0</v>
          </cell>
          <cell r="P426">
            <v>0</v>
          </cell>
          <cell r="R426">
            <v>35.799999999999997</v>
          </cell>
        </row>
        <row r="427">
          <cell r="C427" t="str">
            <v>Control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M427">
            <v>0</v>
          </cell>
          <cell r="N427">
            <v>1</v>
          </cell>
          <cell r="P427">
            <v>0</v>
          </cell>
          <cell r="R427">
            <v>28.2</v>
          </cell>
        </row>
        <row r="428">
          <cell r="C428" t="str">
            <v>Control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M428">
            <v>0</v>
          </cell>
          <cell r="N428">
            <v>2</v>
          </cell>
          <cell r="P428">
            <v>0</v>
          </cell>
          <cell r="R428">
            <v>44.4</v>
          </cell>
        </row>
        <row r="429">
          <cell r="C429" t="str">
            <v>Control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M429">
            <v>0</v>
          </cell>
          <cell r="N429">
            <v>0</v>
          </cell>
          <cell r="P429">
            <v>0</v>
          </cell>
          <cell r="R429">
            <v>49.9</v>
          </cell>
        </row>
        <row r="430">
          <cell r="C430" t="str">
            <v>Control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M430">
            <v>0</v>
          </cell>
          <cell r="N430">
            <v>0</v>
          </cell>
          <cell r="P430">
            <v>0</v>
          </cell>
          <cell r="R430">
            <v>40.4</v>
          </cell>
        </row>
        <row r="431">
          <cell r="C431" t="str">
            <v>Control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M431">
            <v>0</v>
          </cell>
          <cell r="N431">
            <v>0</v>
          </cell>
          <cell r="P431">
            <v>0</v>
          </cell>
          <cell r="R431">
            <v>60.4</v>
          </cell>
        </row>
        <row r="432">
          <cell r="C432" t="str">
            <v>Control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M432">
            <v>0</v>
          </cell>
          <cell r="N432">
            <v>1</v>
          </cell>
          <cell r="P432">
            <v>0</v>
          </cell>
          <cell r="R432">
            <v>52.4</v>
          </cell>
        </row>
        <row r="433">
          <cell r="C433" t="str">
            <v>Control</v>
          </cell>
          <cell r="H433">
            <v>1</v>
          </cell>
          <cell r="I433">
            <v>1</v>
          </cell>
          <cell r="J433">
            <v>0</v>
          </cell>
          <cell r="K433">
            <v>0</v>
          </cell>
          <cell r="M433">
            <v>0</v>
          </cell>
          <cell r="N433">
            <v>0</v>
          </cell>
          <cell r="P433">
            <v>0</v>
          </cell>
          <cell r="R433">
            <v>48.8</v>
          </cell>
        </row>
        <row r="434">
          <cell r="C434" t="str">
            <v>Control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M434">
            <v>0</v>
          </cell>
          <cell r="N434">
            <v>0</v>
          </cell>
          <cell r="P434">
            <v>0</v>
          </cell>
          <cell r="R434">
            <v>60.9</v>
          </cell>
        </row>
        <row r="435">
          <cell r="C435" t="str">
            <v>Control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M435">
            <v>0</v>
          </cell>
          <cell r="N435">
            <v>0</v>
          </cell>
          <cell r="P435">
            <v>0</v>
          </cell>
          <cell r="R435">
            <v>68.2</v>
          </cell>
        </row>
        <row r="436">
          <cell r="C436" t="str">
            <v>Control</v>
          </cell>
          <cell r="H436">
            <v>1</v>
          </cell>
          <cell r="I436">
            <v>0</v>
          </cell>
          <cell r="J436">
            <v>0</v>
          </cell>
          <cell r="K436">
            <v>0</v>
          </cell>
          <cell r="M436">
            <v>0</v>
          </cell>
          <cell r="N436">
            <v>0</v>
          </cell>
          <cell r="P436">
            <v>0</v>
          </cell>
          <cell r="R436">
            <v>65.599999999999994</v>
          </cell>
        </row>
        <row r="437">
          <cell r="C437" t="str">
            <v>Control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M437">
            <v>0</v>
          </cell>
          <cell r="N437">
            <v>0</v>
          </cell>
          <cell r="P437">
            <v>0</v>
          </cell>
          <cell r="R437">
            <v>65.400000000000006</v>
          </cell>
        </row>
        <row r="438">
          <cell r="C438" t="str">
            <v>Control</v>
          </cell>
          <cell r="H438">
            <v>1</v>
          </cell>
          <cell r="I438">
            <v>0</v>
          </cell>
          <cell r="J438">
            <v>0</v>
          </cell>
          <cell r="K438">
            <v>0</v>
          </cell>
          <cell r="M438">
            <v>0</v>
          </cell>
          <cell r="N438">
            <v>0</v>
          </cell>
          <cell r="P438">
            <v>0</v>
          </cell>
          <cell r="R438">
            <v>78.900000000000006</v>
          </cell>
        </row>
        <row r="439">
          <cell r="C439" t="str">
            <v>Control</v>
          </cell>
          <cell r="H439">
            <v>1</v>
          </cell>
          <cell r="I439">
            <v>1</v>
          </cell>
          <cell r="J439">
            <v>1</v>
          </cell>
          <cell r="K439">
            <v>0</v>
          </cell>
          <cell r="M439">
            <v>0</v>
          </cell>
          <cell r="N439">
            <v>0</v>
          </cell>
          <cell r="P439">
            <v>0</v>
          </cell>
          <cell r="R439">
            <v>78.3</v>
          </cell>
        </row>
        <row r="440">
          <cell r="C440" t="str">
            <v>Control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M440">
            <v>0</v>
          </cell>
          <cell r="N440">
            <v>0</v>
          </cell>
          <cell r="P440">
            <v>0</v>
          </cell>
          <cell r="R440">
            <v>49.2</v>
          </cell>
        </row>
        <row r="441">
          <cell r="C441" t="str">
            <v>Control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M441">
            <v>1496.19</v>
          </cell>
          <cell r="N441">
            <v>0</v>
          </cell>
          <cell r="P441">
            <v>0</v>
          </cell>
          <cell r="Q441">
            <v>9</v>
          </cell>
          <cell r="R441">
            <v>32.200000000000003</v>
          </cell>
        </row>
        <row r="442">
          <cell r="C442" t="str">
            <v>Control</v>
          </cell>
          <cell r="H442">
            <v>1</v>
          </cell>
          <cell r="I442">
            <v>1</v>
          </cell>
          <cell r="J442">
            <v>1</v>
          </cell>
          <cell r="K442">
            <v>0</v>
          </cell>
          <cell r="M442">
            <v>0</v>
          </cell>
          <cell r="N442">
            <v>0</v>
          </cell>
          <cell r="P442">
            <v>0</v>
          </cell>
          <cell r="R442">
            <v>46.3</v>
          </cell>
        </row>
        <row r="443">
          <cell r="C443" t="str">
            <v>Control</v>
          </cell>
          <cell r="H443">
            <v>1</v>
          </cell>
          <cell r="I443">
            <v>0</v>
          </cell>
          <cell r="J443">
            <v>0</v>
          </cell>
          <cell r="K443">
            <v>0</v>
          </cell>
          <cell r="M443">
            <v>0</v>
          </cell>
          <cell r="N443">
            <v>0</v>
          </cell>
          <cell r="P443">
            <v>0</v>
          </cell>
          <cell r="R443">
            <v>55.7</v>
          </cell>
        </row>
        <row r="444">
          <cell r="C444" t="str">
            <v>Control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M444">
            <v>0</v>
          </cell>
          <cell r="N444">
            <v>0</v>
          </cell>
          <cell r="P444">
            <v>0</v>
          </cell>
          <cell r="R444">
            <v>44.5</v>
          </cell>
        </row>
        <row r="445">
          <cell r="C445" t="str">
            <v>Control</v>
          </cell>
          <cell r="H445">
            <v>1</v>
          </cell>
          <cell r="I445">
            <v>1</v>
          </cell>
          <cell r="J445">
            <v>1</v>
          </cell>
          <cell r="K445">
            <v>0</v>
          </cell>
          <cell r="M445">
            <v>0</v>
          </cell>
          <cell r="N445">
            <v>1</v>
          </cell>
          <cell r="P445">
            <v>0</v>
          </cell>
          <cell r="R445">
            <v>47.9</v>
          </cell>
        </row>
        <row r="446">
          <cell r="C446" t="str">
            <v>Control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M446">
            <v>0</v>
          </cell>
          <cell r="N446">
            <v>0</v>
          </cell>
          <cell r="P446">
            <v>0</v>
          </cell>
          <cell r="R446">
            <v>43.9</v>
          </cell>
        </row>
        <row r="447">
          <cell r="C447" t="str">
            <v>Control</v>
          </cell>
          <cell r="H447">
            <v>1</v>
          </cell>
          <cell r="I447">
            <v>1</v>
          </cell>
          <cell r="J447">
            <v>1</v>
          </cell>
          <cell r="K447">
            <v>0</v>
          </cell>
          <cell r="M447">
            <v>0</v>
          </cell>
          <cell r="N447">
            <v>1</v>
          </cell>
          <cell r="P447">
            <v>0</v>
          </cell>
          <cell r="R447">
            <v>67.7</v>
          </cell>
        </row>
        <row r="448">
          <cell r="C448" t="str">
            <v>Control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M448">
            <v>0</v>
          </cell>
          <cell r="N448">
            <v>0</v>
          </cell>
          <cell r="P448">
            <v>0</v>
          </cell>
          <cell r="R448">
            <v>43.7</v>
          </cell>
        </row>
        <row r="449">
          <cell r="C449" t="str">
            <v>Control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M449">
            <v>0</v>
          </cell>
          <cell r="N449">
            <v>0</v>
          </cell>
          <cell r="P449">
            <v>0</v>
          </cell>
          <cell r="R449">
            <v>68.8</v>
          </cell>
        </row>
        <row r="450">
          <cell r="C450" t="str">
            <v>Control</v>
          </cell>
          <cell r="H450">
            <v>1</v>
          </cell>
          <cell r="I450">
            <v>1</v>
          </cell>
          <cell r="J450">
            <v>1</v>
          </cell>
          <cell r="K450">
            <v>0</v>
          </cell>
          <cell r="M450">
            <v>0</v>
          </cell>
          <cell r="N450">
            <v>0</v>
          </cell>
          <cell r="P450">
            <v>0</v>
          </cell>
          <cell r="R450">
            <v>59.2</v>
          </cell>
        </row>
        <row r="451">
          <cell r="C451" t="str">
            <v>Control</v>
          </cell>
          <cell r="H451">
            <v>1</v>
          </cell>
          <cell r="I451">
            <v>0</v>
          </cell>
          <cell r="J451">
            <v>0</v>
          </cell>
          <cell r="K451">
            <v>0</v>
          </cell>
          <cell r="M451">
            <v>0</v>
          </cell>
          <cell r="N451">
            <v>0</v>
          </cell>
          <cell r="P451">
            <v>0</v>
          </cell>
          <cell r="R451">
            <v>48.6</v>
          </cell>
        </row>
        <row r="452">
          <cell r="C452" t="str">
            <v>Control</v>
          </cell>
          <cell r="H452">
            <v>1</v>
          </cell>
          <cell r="I452">
            <v>1</v>
          </cell>
          <cell r="J452">
            <v>1</v>
          </cell>
          <cell r="K452">
            <v>0</v>
          </cell>
          <cell r="M452">
            <v>0</v>
          </cell>
          <cell r="N452">
            <v>0</v>
          </cell>
          <cell r="P452">
            <v>0</v>
          </cell>
          <cell r="R452">
            <v>56.9</v>
          </cell>
        </row>
        <row r="453">
          <cell r="C453" t="str">
            <v>Control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M453">
            <v>0</v>
          </cell>
          <cell r="N453">
            <v>0</v>
          </cell>
          <cell r="P453">
            <v>0</v>
          </cell>
          <cell r="R453">
            <v>55.8</v>
          </cell>
        </row>
        <row r="454">
          <cell r="C454" t="str">
            <v>Control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M454">
            <v>0</v>
          </cell>
          <cell r="N454">
            <v>0</v>
          </cell>
          <cell r="P454">
            <v>0</v>
          </cell>
          <cell r="R454">
            <v>63.3</v>
          </cell>
        </row>
        <row r="455">
          <cell r="C455" t="str">
            <v>Control</v>
          </cell>
          <cell r="H455">
            <v>1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  <cell r="N455">
            <v>0</v>
          </cell>
          <cell r="P455">
            <v>0</v>
          </cell>
          <cell r="R455">
            <v>52.2</v>
          </cell>
        </row>
        <row r="456">
          <cell r="C456" t="str">
            <v>Control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M456">
            <v>0</v>
          </cell>
          <cell r="N456">
            <v>0</v>
          </cell>
          <cell r="P456">
            <v>0</v>
          </cell>
          <cell r="R456">
            <v>51.5</v>
          </cell>
        </row>
        <row r="457">
          <cell r="C457" t="str">
            <v>Control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M457">
            <v>0</v>
          </cell>
          <cell r="N457">
            <v>0</v>
          </cell>
          <cell r="P457">
            <v>0</v>
          </cell>
          <cell r="R457">
            <v>50.3</v>
          </cell>
        </row>
        <row r="458">
          <cell r="C458" t="str">
            <v>Control</v>
          </cell>
          <cell r="H458">
            <v>1</v>
          </cell>
          <cell r="I458">
            <v>0</v>
          </cell>
          <cell r="J458">
            <v>0</v>
          </cell>
          <cell r="K458">
            <v>0</v>
          </cell>
          <cell r="M458">
            <v>0</v>
          </cell>
          <cell r="N458">
            <v>1</v>
          </cell>
          <cell r="P458">
            <v>0</v>
          </cell>
          <cell r="R458">
            <v>35.4</v>
          </cell>
        </row>
        <row r="459">
          <cell r="C459" t="str">
            <v>Control</v>
          </cell>
          <cell r="H459">
            <v>1</v>
          </cell>
          <cell r="I459">
            <v>0</v>
          </cell>
          <cell r="J459">
            <v>0</v>
          </cell>
          <cell r="K459">
            <v>0</v>
          </cell>
          <cell r="M459">
            <v>0</v>
          </cell>
          <cell r="N459">
            <v>1</v>
          </cell>
          <cell r="P459">
            <v>0</v>
          </cell>
          <cell r="R459">
            <v>54.1</v>
          </cell>
        </row>
        <row r="460">
          <cell r="C460" t="str">
            <v>Control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M460">
            <v>0</v>
          </cell>
          <cell r="N460">
            <v>0</v>
          </cell>
          <cell r="P460">
            <v>0</v>
          </cell>
          <cell r="R460">
            <v>56.2</v>
          </cell>
        </row>
        <row r="461">
          <cell r="C461" t="str">
            <v>Control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M461">
            <v>0</v>
          </cell>
          <cell r="N461">
            <v>3</v>
          </cell>
          <cell r="P461">
            <v>0</v>
          </cell>
          <cell r="R461">
            <v>43.7</v>
          </cell>
        </row>
        <row r="462">
          <cell r="C462" t="str">
            <v>Control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M462">
            <v>0</v>
          </cell>
          <cell r="N462">
            <v>0</v>
          </cell>
          <cell r="P462">
            <v>0</v>
          </cell>
          <cell r="R462">
            <v>51.3</v>
          </cell>
        </row>
        <row r="463">
          <cell r="C463" t="str">
            <v>Control</v>
          </cell>
          <cell r="H463">
            <v>1</v>
          </cell>
          <cell r="I463">
            <v>0</v>
          </cell>
          <cell r="J463">
            <v>0</v>
          </cell>
          <cell r="K463">
            <v>0</v>
          </cell>
          <cell r="M463">
            <v>0</v>
          </cell>
          <cell r="N463">
            <v>0</v>
          </cell>
          <cell r="P463">
            <v>0</v>
          </cell>
          <cell r="R463">
            <v>50.5</v>
          </cell>
        </row>
        <row r="464">
          <cell r="C464" t="str">
            <v>Control</v>
          </cell>
          <cell r="H464">
            <v>1</v>
          </cell>
          <cell r="I464">
            <v>0</v>
          </cell>
          <cell r="J464">
            <v>0</v>
          </cell>
          <cell r="K464">
            <v>0</v>
          </cell>
          <cell r="M464">
            <v>0</v>
          </cell>
          <cell r="N464">
            <v>0</v>
          </cell>
          <cell r="P464">
            <v>0</v>
          </cell>
          <cell r="R464">
            <v>57.3</v>
          </cell>
        </row>
        <row r="465">
          <cell r="C465" t="str">
            <v>Control</v>
          </cell>
          <cell r="H465">
            <v>1</v>
          </cell>
          <cell r="I465">
            <v>1</v>
          </cell>
          <cell r="J465">
            <v>1</v>
          </cell>
          <cell r="K465">
            <v>0</v>
          </cell>
          <cell r="M465">
            <v>0</v>
          </cell>
          <cell r="N465">
            <v>0</v>
          </cell>
          <cell r="P465">
            <v>0</v>
          </cell>
          <cell r="R465">
            <v>58.4</v>
          </cell>
        </row>
        <row r="466">
          <cell r="C466" t="str">
            <v>Control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P466">
            <v>0</v>
          </cell>
          <cell r="R466">
            <v>56.5</v>
          </cell>
        </row>
        <row r="467">
          <cell r="C467" t="str">
            <v>Control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M467">
            <v>0</v>
          </cell>
          <cell r="N467">
            <v>0</v>
          </cell>
          <cell r="P467">
            <v>0</v>
          </cell>
          <cell r="R467">
            <v>69.599999999999994</v>
          </cell>
        </row>
        <row r="468">
          <cell r="C468" t="str">
            <v>Control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M468">
            <v>0</v>
          </cell>
          <cell r="N468">
            <v>0</v>
          </cell>
          <cell r="P468">
            <v>0</v>
          </cell>
          <cell r="R468">
            <v>6.2</v>
          </cell>
        </row>
        <row r="469">
          <cell r="C469" t="str">
            <v>Control</v>
          </cell>
          <cell r="H469">
            <v>1</v>
          </cell>
          <cell r="I469">
            <v>1</v>
          </cell>
          <cell r="J469">
            <v>1</v>
          </cell>
          <cell r="K469">
            <v>0</v>
          </cell>
          <cell r="M469">
            <v>0</v>
          </cell>
          <cell r="N469">
            <v>0</v>
          </cell>
          <cell r="P469">
            <v>0</v>
          </cell>
          <cell r="R469">
            <v>54.3</v>
          </cell>
        </row>
        <row r="470">
          <cell r="C470" t="str">
            <v>Control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M470">
            <v>0</v>
          </cell>
          <cell r="N470">
            <v>0</v>
          </cell>
          <cell r="P470">
            <v>0</v>
          </cell>
          <cell r="R470">
            <v>59.8</v>
          </cell>
        </row>
        <row r="471">
          <cell r="C471" t="str">
            <v>Control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M471">
            <v>0</v>
          </cell>
          <cell r="N471">
            <v>0</v>
          </cell>
          <cell r="P471">
            <v>0</v>
          </cell>
          <cell r="R471">
            <v>58.9</v>
          </cell>
        </row>
        <row r="472">
          <cell r="C472" t="str">
            <v>Control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M472">
            <v>0</v>
          </cell>
          <cell r="N472">
            <v>1</v>
          </cell>
          <cell r="P472">
            <v>0</v>
          </cell>
          <cell r="R472">
            <v>52.9</v>
          </cell>
        </row>
        <row r="473">
          <cell r="C473" t="str">
            <v>Control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M473">
            <v>0</v>
          </cell>
          <cell r="N473">
            <v>0</v>
          </cell>
          <cell r="P473">
            <v>0</v>
          </cell>
          <cell r="R473">
            <v>67.8</v>
          </cell>
        </row>
        <row r="474">
          <cell r="C474" t="str">
            <v>Control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M474">
            <v>0</v>
          </cell>
          <cell r="N474">
            <v>0</v>
          </cell>
          <cell r="P474">
            <v>0</v>
          </cell>
          <cell r="R474">
            <v>48.7</v>
          </cell>
        </row>
        <row r="475">
          <cell r="C475" t="str">
            <v>Control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M475">
            <v>0</v>
          </cell>
          <cell r="N475">
            <v>0</v>
          </cell>
          <cell r="P475">
            <v>0</v>
          </cell>
          <cell r="R475">
            <v>59</v>
          </cell>
        </row>
        <row r="476">
          <cell r="C476" t="str">
            <v>Control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M476">
            <v>0</v>
          </cell>
          <cell r="N476">
            <v>0</v>
          </cell>
          <cell r="P476">
            <v>0</v>
          </cell>
          <cell r="R476">
            <v>63.2</v>
          </cell>
        </row>
        <row r="477">
          <cell r="C477" t="str">
            <v>Control</v>
          </cell>
          <cell r="H477">
            <v>1</v>
          </cell>
          <cell r="I477">
            <v>0</v>
          </cell>
          <cell r="J477">
            <v>0</v>
          </cell>
          <cell r="K477">
            <v>0</v>
          </cell>
          <cell r="M477">
            <v>0</v>
          </cell>
          <cell r="N477">
            <v>0</v>
          </cell>
          <cell r="P477">
            <v>0</v>
          </cell>
          <cell r="R477">
            <v>68.7</v>
          </cell>
        </row>
        <row r="478">
          <cell r="C478" t="str">
            <v>Control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0</v>
          </cell>
          <cell r="N478">
            <v>0</v>
          </cell>
          <cell r="P478">
            <v>0</v>
          </cell>
          <cell r="R478">
            <v>52.1</v>
          </cell>
        </row>
        <row r="479">
          <cell r="C479" t="str">
            <v>Control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M479">
            <v>0</v>
          </cell>
          <cell r="N479">
            <v>0</v>
          </cell>
          <cell r="P479">
            <v>0</v>
          </cell>
          <cell r="R479">
            <v>56.5</v>
          </cell>
        </row>
        <row r="480">
          <cell r="C480" t="str">
            <v>Control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M480">
            <v>0</v>
          </cell>
          <cell r="N480">
            <v>0</v>
          </cell>
          <cell r="P480">
            <v>0</v>
          </cell>
          <cell r="R480">
            <v>64.400000000000006</v>
          </cell>
        </row>
        <row r="481">
          <cell r="C481" t="str">
            <v>Control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M481">
            <v>0</v>
          </cell>
          <cell r="N481">
            <v>0</v>
          </cell>
          <cell r="P481">
            <v>0</v>
          </cell>
          <cell r="R481">
            <v>65.900000000000006</v>
          </cell>
        </row>
        <row r="482">
          <cell r="C482" t="str">
            <v>Control</v>
          </cell>
          <cell r="H482">
            <v>1</v>
          </cell>
          <cell r="I482">
            <v>1</v>
          </cell>
          <cell r="J482">
            <v>1</v>
          </cell>
          <cell r="K482">
            <v>0</v>
          </cell>
          <cell r="M482">
            <v>0</v>
          </cell>
          <cell r="N482">
            <v>0</v>
          </cell>
          <cell r="P482">
            <v>0</v>
          </cell>
          <cell r="R482">
            <v>100</v>
          </cell>
        </row>
        <row r="483">
          <cell r="C483" t="str">
            <v>Control</v>
          </cell>
          <cell r="H483">
            <v>1</v>
          </cell>
          <cell r="I483">
            <v>1</v>
          </cell>
          <cell r="J483">
            <v>1</v>
          </cell>
          <cell r="K483">
            <v>0</v>
          </cell>
          <cell r="M483">
            <v>0</v>
          </cell>
          <cell r="N483">
            <v>0</v>
          </cell>
          <cell r="P483">
            <v>0</v>
          </cell>
          <cell r="R483">
            <v>50.4</v>
          </cell>
        </row>
        <row r="484">
          <cell r="C484" t="str">
            <v>Control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M484">
            <v>0</v>
          </cell>
          <cell r="N484">
            <v>0</v>
          </cell>
          <cell r="P484">
            <v>0</v>
          </cell>
          <cell r="R484">
            <v>41.5</v>
          </cell>
        </row>
        <row r="485">
          <cell r="C485" t="str">
            <v>Control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M485">
            <v>0</v>
          </cell>
          <cell r="N485">
            <v>0</v>
          </cell>
          <cell r="P485">
            <v>0</v>
          </cell>
          <cell r="R485">
            <v>86.2</v>
          </cell>
        </row>
        <row r="486">
          <cell r="C486" t="str">
            <v>Control</v>
          </cell>
          <cell r="H486">
            <v>1</v>
          </cell>
          <cell r="I486">
            <v>1</v>
          </cell>
          <cell r="J486">
            <v>1</v>
          </cell>
          <cell r="K486">
            <v>0</v>
          </cell>
          <cell r="M486">
            <v>0</v>
          </cell>
          <cell r="N486">
            <v>2</v>
          </cell>
          <cell r="P486">
            <v>0</v>
          </cell>
          <cell r="R486">
            <v>50.8</v>
          </cell>
        </row>
        <row r="487">
          <cell r="C487" t="str">
            <v>Control</v>
          </cell>
          <cell r="H487">
            <v>1</v>
          </cell>
          <cell r="I487">
            <v>0</v>
          </cell>
          <cell r="J487">
            <v>0</v>
          </cell>
          <cell r="K487">
            <v>0</v>
          </cell>
          <cell r="M487">
            <v>0</v>
          </cell>
          <cell r="N487">
            <v>0</v>
          </cell>
          <cell r="P487">
            <v>0</v>
          </cell>
          <cell r="R487">
            <v>50.9</v>
          </cell>
        </row>
        <row r="488">
          <cell r="C488" t="str">
            <v>Control</v>
          </cell>
          <cell r="H488">
            <v>1</v>
          </cell>
          <cell r="I488">
            <v>1</v>
          </cell>
          <cell r="J488">
            <v>0</v>
          </cell>
          <cell r="K488">
            <v>0</v>
          </cell>
          <cell r="M488">
            <v>0</v>
          </cell>
          <cell r="N488">
            <v>0</v>
          </cell>
          <cell r="P488">
            <v>0</v>
          </cell>
          <cell r="R488">
            <v>87.5</v>
          </cell>
        </row>
        <row r="489">
          <cell r="C489" t="str">
            <v>Control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M489">
            <v>0</v>
          </cell>
          <cell r="N489">
            <v>0</v>
          </cell>
          <cell r="P489">
            <v>0</v>
          </cell>
          <cell r="R489">
            <v>43.6</v>
          </cell>
        </row>
        <row r="490">
          <cell r="C490" t="str">
            <v>Control</v>
          </cell>
          <cell r="H490">
            <v>1</v>
          </cell>
          <cell r="I490">
            <v>0</v>
          </cell>
          <cell r="J490">
            <v>0</v>
          </cell>
          <cell r="K490">
            <v>0</v>
          </cell>
          <cell r="M490">
            <v>0</v>
          </cell>
          <cell r="N490">
            <v>0</v>
          </cell>
          <cell r="P490">
            <v>0</v>
          </cell>
          <cell r="R490">
            <v>55.5</v>
          </cell>
        </row>
        <row r="491">
          <cell r="C491" t="str">
            <v>Control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M491">
            <v>0</v>
          </cell>
          <cell r="N491">
            <v>0</v>
          </cell>
          <cell r="P491">
            <v>0</v>
          </cell>
          <cell r="R491">
            <v>78.599999999999994</v>
          </cell>
        </row>
        <row r="492">
          <cell r="C492" t="str">
            <v>Control</v>
          </cell>
          <cell r="H492">
            <v>1</v>
          </cell>
          <cell r="I492">
            <v>1</v>
          </cell>
          <cell r="J492">
            <v>0</v>
          </cell>
          <cell r="K492">
            <v>0</v>
          </cell>
          <cell r="M492">
            <v>0</v>
          </cell>
          <cell r="N492">
            <v>1</v>
          </cell>
          <cell r="P492">
            <v>0</v>
          </cell>
          <cell r="R492">
            <v>44.3</v>
          </cell>
        </row>
        <row r="493">
          <cell r="C493" t="str">
            <v>Control</v>
          </cell>
          <cell r="H493">
            <v>1</v>
          </cell>
          <cell r="I493">
            <v>1</v>
          </cell>
          <cell r="J493">
            <v>0</v>
          </cell>
          <cell r="K493">
            <v>0</v>
          </cell>
          <cell r="M493">
            <v>0</v>
          </cell>
          <cell r="N493">
            <v>0</v>
          </cell>
          <cell r="P493">
            <v>0</v>
          </cell>
          <cell r="R493">
            <v>45.2</v>
          </cell>
        </row>
        <row r="494">
          <cell r="C494" t="str">
            <v>Control</v>
          </cell>
          <cell r="H494">
            <v>1</v>
          </cell>
          <cell r="I494">
            <v>0</v>
          </cell>
          <cell r="J494">
            <v>0</v>
          </cell>
          <cell r="K494">
            <v>0</v>
          </cell>
          <cell r="M494">
            <v>0</v>
          </cell>
          <cell r="N494">
            <v>2</v>
          </cell>
          <cell r="P494">
            <v>0</v>
          </cell>
          <cell r="R494">
            <v>46.1</v>
          </cell>
        </row>
        <row r="495">
          <cell r="C495" t="str">
            <v>Control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M495">
            <v>0</v>
          </cell>
          <cell r="N495">
            <v>0</v>
          </cell>
          <cell r="P495">
            <v>0</v>
          </cell>
          <cell r="R495">
            <v>49.6</v>
          </cell>
        </row>
        <row r="496">
          <cell r="C496" t="str">
            <v>Control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M496">
            <v>0</v>
          </cell>
          <cell r="N496">
            <v>0</v>
          </cell>
          <cell r="P496">
            <v>0</v>
          </cell>
          <cell r="R496">
            <v>70.5</v>
          </cell>
        </row>
        <row r="497">
          <cell r="C497" t="str">
            <v>Control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M497">
            <v>0</v>
          </cell>
          <cell r="N497">
            <v>1</v>
          </cell>
          <cell r="P497">
            <v>0</v>
          </cell>
          <cell r="R497">
            <v>60.8</v>
          </cell>
        </row>
        <row r="498">
          <cell r="C498" t="str">
            <v>Control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M498">
            <v>0</v>
          </cell>
          <cell r="N498">
            <v>1</v>
          </cell>
          <cell r="P498">
            <v>0</v>
          </cell>
          <cell r="R498">
            <v>50.5</v>
          </cell>
        </row>
        <row r="499">
          <cell r="C499" t="str">
            <v>Control</v>
          </cell>
          <cell r="H499">
            <v>1</v>
          </cell>
          <cell r="I499">
            <v>0</v>
          </cell>
          <cell r="J499">
            <v>0</v>
          </cell>
          <cell r="K499">
            <v>0</v>
          </cell>
          <cell r="M499">
            <v>0</v>
          </cell>
          <cell r="N499">
            <v>0</v>
          </cell>
          <cell r="P499">
            <v>0</v>
          </cell>
          <cell r="R499">
            <v>54.9</v>
          </cell>
        </row>
        <row r="500">
          <cell r="C500" t="str">
            <v>Control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M500">
            <v>0</v>
          </cell>
          <cell r="N500">
            <v>0</v>
          </cell>
          <cell r="P500">
            <v>0</v>
          </cell>
          <cell r="R500">
            <v>29.9</v>
          </cell>
        </row>
        <row r="501">
          <cell r="C501" t="str">
            <v>Control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0</v>
          </cell>
          <cell r="N501">
            <v>0</v>
          </cell>
          <cell r="P501">
            <v>0</v>
          </cell>
          <cell r="R501">
            <v>48.3</v>
          </cell>
        </row>
        <row r="502">
          <cell r="C502" t="str">
            <v>Control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M502">
            <v>513.61</v>
          </cell>
          <cell r="N502">
            <v>0</v>
          </cell>
          <cell r="P502">
            <v>0</v>
          </cell>
          <cell r="Q502">
            <v>7</v>
          </cell>
          <cell r="R502">
            <v>41.3</v>
          </cell>
        </row>
        <row r="503">
          <cell r="C503" t="str">
            <v>Control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M503">
            <v>0</v>
          </cell>
          <cell r="N503">
            <v>0</v>
          </cell>
          <cell r="P503">
            <v>0</v>
          </cell>
          <cell r="R503">
            <v>61.4</v>
          </cell>
        </row>
        <row r="504">
          <cell r="C504" t="str">
            <v>Control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M504">
            <v>0</v>
          </cell>
          <cell r="N504">
            <v>0</v>
          </cell>
          <cell r="P504">
            <v>0</v>
          </cell>
          <cell r="R504">
            <v>57.8</v>
          </cell>
        </row>
        <row r="505">
          <cell r="C505" t="str">
            <v>Control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M505">
            <v>0</v>
          </cell>
          <cell r="N505">
            <v>0</v>
          </cell>
          <cell r="P505">
            <v>0</v>
          </cell>
          <cell r="R505">
            <v>78.2</v>
          </cell>
        </row>
        <row r="506">
          <cell r="C506" t="str">
            <v>Control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M506">
            <v>0</v>
          </cell>
          <cell r="N506">
            <v>0</v>
          </cell>
          <cell r="P506">
            <v>0</v>
          </cell>
          <cell r="R506">
            <v>63.8</v>
          </cell>
        </row>
        <row r="507">
          <cell r="C507" t="str">
            <v>Control</v>
          </cell>
          <cell r="H507">
            <v>1</v>
          </cell>
          <cell r="I507">
            <v>0</v>
          </cell>
          <cell r="J507">
            <v>0</v>
          </cell>
          <cell r="K507">
            <v>0</v>
          </cell>
          <cell r="M507">
            <v>0</v>
          </cell>
          <cell r="N507">
            <v>0</v>
          </cell>
          <cell r="P507">
            <v>0</v>
          </cell>
          <cell r="R507">
            <v>56.8</v>
          </cell>
        </row>
        <row r="508">
          <cell r="C508" t="str">
            <v>Control</v>
          </cell>
          <cell r="H508">
            <v>1</v>
          </cell>
          <cell r="I508">
            <v>1</v>
          </cell>
          <cell r="J508">
            <v>0</v>
          </cell>
          <cell r="K508">
            <v>0</v>
          </cell>
          <cell r="M508">
            <v>0</v>
          </cell>
          <cell r="N508">
            <v>0</v>
          </cell>
          <cell r="P508">
            <v>0</v>
          </cell>
          <cell r="R508">
            <v>59.6</v>
          </cell>
        </row>
        <row r="509">
          <cell r="C509" t="str">
            <v>Control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M509">
            <v>0</v>
          </cell>
          <cell r="N509">
            <v>0</v>
          </cell>
          <cell r="P509">
            <v>0</v>
          </cell>
          <cell r="R509">
            <v>50</v>
          </cell>
        </row>
        <row r="510">
          <cell r="C510" t="str">
            <v>Control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M510">
            <v>0</v>
          </cell>
          <cell r="N510">
            <v>0</v>
          </cell>
          <cell r="P510">
            <v>0</v>
          </cell>
          <cell r="R510">
            <v>35.700000000000003</v>
          </cell>
        </row>
        <row r="511">
          <cell r="C511" t="str">
            <v>Control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M511">
            <v>0</v>
          </cell>
          <cell r="N511">
            <v>2</v>
          </cell>
          <cell r="P511">
            <v>0</v>
          </cell>
          <cell r="R511">
            <v>47.2</v>
          </cell>
        </row>
        <row r="512">
          <cell r="C512" t="str">
            <v>Control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M512">
            <v>0</v>
          </cell>
          <cell r="N512">
            <v>0</v>
          </cell>
          <cell r="P512">
            <v>0</v>
          </cell>
          <cell r="R512">
            <v>56.9</v>
          </cell>
        </row>
        <row r="513">
          <cell r="C513" t="str">
            <v>Control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M513">
            <v>0</v>
          </cell>
          <cell r="N513">
            <v>1</v>
          </cell>
          <cell r="P513">
            <v>0</v>
          </cell>
          <cell r="R513">
            <v>57.2</v>
          </cell>
        </row>
        <row r="514">
          <cell r="C514" t="str">
            <v>Control</v>
          </cell>
          <cell r="H514">
            <v>1</v>
          </cell>
          <cell r="I514">
            <v>1</v>
          </cell>
          <cell r="J514">
            <v>0</v>
          </cell>
          <cell r="K514">
            <v>0</v>
          </cell>
          <cell r="M514">
            <v>0</v>
          </cell>
          <cell r="N514">
            <v>0</v>
          </cell>
          <cell r="P514">
            <v>0</v>
          </cell>
          <cell r="R514">
            <v>31.4</v>
          </cell>
        </row>
        <row r="515">
          <cell r="C515" t="str">
            <v>Control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M515">
            <v>0</v>
          </cell>
          <cell r="N515">
            <v>0</v>
          </cell>
          <cell r="P515">
            <v>0</v>
          </cell>
          <cell r="R515">
            <v>71.2</v>
          </cell>
        </row>
        <row r="516">
          <cell r="C516" t="str">
            <v>Control</v>
          </cell>
          <cell r="H516">
            <v>1</v>
          </cell>
          <cell r="I516">
            <v>1</v>
          </cell>
          <cell r="J516">
            <v>1</v>
          </cell>
          <cell r="K516">
            <v>0</v>
          </cell>
          <cell r="M516">
            <v>0</v>
          </cell>
          <cell r="N516">
            <v>1</v>
          </cell>
          <cell r="P516">
            <v>0</v>
          </cell>
          <cell r="R516">
            <v>38.299999999999997</v>
          </cell>
        </row>
        <row r="517">
          <cell r="C517" t="str">
            <v>Control</v>
          </cell>
          <cell r="H517">
            <v>1</v>
          </cell>
          <cell r="I517">
            <v>1</v>
          </cell>
          <cell r="J517">
            <v>0</v>
          </cell>
          <cell r="K517">
            <v>0</v>
          </cell>
          <cell r="M517">
            <v>0</v>
          </cell>
          <cell r="N517">
            <v>0</v>
          </cell>
          <cell r="P517">
            <v>0</v>
          </cell>
          <cell r="R517">
            <v>63.1</v>
          </cell>
        </row>
        <row r="518">
          <cell r="C518" t="str">
            <v>Control</v>
          </cell>
          <cell r="H518">
            <v>1</v>
          </cell>
          <cell r="I518">
            <v>0</v>
          </cell>
          <cell r="J518">
            <v>0</v>
          </cell>
          <cell r="K518">
            <v>0</v>
          </cell>
          <cell r="M518">
            <v>0</v>
          </cell>
          <cell r="N518">
            <v>0</v>
          </cell>
          <cell r="P518">
            <v>0</v>
          </cell>
          <cell r="R518">
            <v>59.7</v>
          </cell>
        </row>
        <row r="519">
          <cell r="C519" t="str">
            <v>Control</v>
          </cell>
          <cell r="H519">
            <v>1</v>
          </cell>
          <cell r="I519">
            <v>1</v>
          </cell>
          <cell r="J519">
            <v>1</v>
          </cell>
          <cell r="K519">
            <v>0</v>
          </cell>
          <cell r="M519">
            <v>0</v>
          </cell>
          <cell r="N519">
            <v>0</v>
          </cell>
          <cell r="P519">
            <v>0</v>
          </cell>
          <cell r="R519">
            <v>59.5</v>
          </cell>
        </row>
        <row r="520">
          <cell r="C520" t="str">
            <v>Control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  <cell r="N520">
            <v>0</v>
          </cell>
          <cell r="P520">
            <v>0</v>
          </cell>
          <cell r="R520">
            <v>78.8</v>
          </cell>
        </row>
        <row r="521">
          <cell r="C521" t="str">
            <v>Control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M521">
            <v>0</v>
          </cell>
          <cell r="N521">
            <v>0</v>
          </cell>
          <cell r="P521">
            <v>0</v>
          </cell>
          <cell r="R521">
            <v>54</v>
          </cell>
        </row>
        <row r="522">
          <cell r="C522" t="str">
            <v>Control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  <cell r="N522">
            <v>0</v>
          </cell>
          <cell r="P522">
            <v>0</v>
          </cell>
          <cell r="R522">
            <v>66.3</v>
          </cell>
        </row>
        <row r="523">
          <cell r="C523" t="str">
            <v>Control</v>
          </cell>
          <cell r="H523">
            <v>1</v>
          </cell>
          <cell r="I523">
            <v>1</v>
          </cell>
          <cell r="J523">
            <v>0</v>
          </cell>
          <cell r="K523">
            <v>0</v>
          </cell>
          <cell r="M523">
            <v>0</v>
          </cell>
          <cell r="N523">
            <v>0</v>
          </cell>
          <cell r="P523">
            <v>0</v>
          </cell>
          <cell r="R523">
            <v>54.7</v>
          </cell>
        </row>
        <row r="524">
          <cell r="C524" t="str">
            <v>Control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M524">
            <v>0</v>
          </cell>
          <cell r="N524">
            <v>0</v>
          </cell>
          <cell r="P524">
            <v>0</v>
          </cell>
          <cell r="R524">
            <v>76.7</v>
          </cell>
        </row>
        <row r="525">
          <cell r="C525" t="str">
            <v>Control</v>
          </cell>
          <cell r="H525">
            <v>1</v>
          </cell>
          <cell r="I525">
            <v>0</v>
          </cell>
          <cell r="J525">
            <v>0</v>
          </cell>
          <cell r="K525">
            <v>0</v>
          </cell>
          <cell r="M525">
            <v>0</v>
          </cell>
          <cell r="N525">
            <v>2</v>
          </cell>
          <cell r="P525">
            <v>0</v>
          </cell>
          <cell r="R525">
            <v>47.4</v>
          </cell>
        </row>
        <row r="526">
          <cell r="C526" t="str">
            <v>Control</v>
          </cell>
          <cell r="H526">
            <v>1</v>
          </cell>
          <cell r="I526">
            <v>1</v>
          </cell>
          <cell r="J526">
            <v>1</v>
          </cell>
          <cell r="K526">
            <v>0</v>
          </cell>
          <cell r="M526">
            <v>0</v>
          </cell>
          <cell r="N526">
            <v>0</v>
          </cell>
          <cell r="P526">
            <v>0</v>
          </cell>
          <cell r="R526">
            <v>81.7</v>
          </cell>
        </row>
        <row r="527">
          <cell r="C527" t="str">
            <v>Control</v>
          </cell>
          <cell r="H527">
            <v>1</v>
          </cell>
          <cell r="I527">
            <v>1</v>
          </cell>
          <cell r="J527">
            <v>1</v>
          </cell>
          <cell r="K527">
            <v>0</v>
          </cell>
          <cell r="M527">
            <v>0</v>
          </cell>
          <cell r="N527">
            <v>0</v>
          </cell>
          <cell r="P527">
            <v>0</v>
          </cell>
          <cell r="R527">
            <v>67.5</v>
          </cell>
        </row>
        <row r="528">
          <cell r="C528" t="str">
            <v>Control</v>
          </cell>
          <cell r="H528">
            <v>1</v>
          </cell>
          <cell r="I528">
            <v>0</v>
          </cell>
          <cell r="J528">
            <v>0</v>
          </cell>
          <cell r="K528">
            <v>0</v>
          </cell>
          <cell r="M528">
            <v>0</v>
          </cell>
          <cell r="N528">
            <v>0</v>
          </cell>
          <cell r="P528">
            <v>0</v>
          </cell>
          <cell r="R528">
            <v>36.799999999999997</v>
          </cell>
        </row>
        <row r="529">
          <cell r="C529" t="str">
            <v>Control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M529">
            <v>0</v>
          </cell>
          <cell r="N529">
            <v>0</v>
          </cell>
          <cell r="P529">
            <v>0</v>
          </cell>
          <cell r="R529">
            <v>66.5</v>
          </cell>
        </row>
        <row r="530">
          <cell r="C530" t="str">
            <v>Control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M530">
            <v>0</v>
          </cell>
          <cell r="N530">
            <v>0</v>
          </cell>
          <cell r="P530">
            <v>0</v>
          </cell>
          <cell r="R530">
            <v>35.4</v>
          </cell>
        </row>
        <row r="531">
          <cell r="C531" t="str">
            <v>Control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M531">
            <v>0</v>
          </cell>
          <cell r="N531">
            <v>0</v>
          </cell>
          <cell r="P531">
            <v>0</v>
          </cell>
          <cell r="R531">
            <v>64.3</v>
          </cell>
        </row>
        <row r="532">
          <cell r="C532" t="str">
            <v>Control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M532">
            <v>0</v>
          </cell>
          <cell r="N532">
            <v>0</v>
          </cell>
          <cell r="P532">
            <v>0</v>
          </cell>
          <cell r="R532">
            <v>49.1</v>
          </cell>
        </row>
        <row r="533">
          <cell r="C533" t="str">
            <v>Control</v>
          </cell>
          <cell r="H533">
            <v>1</v>
          </cell>
          <cell r="I533">
            <v>0</v>
          </cell>
          <cell r="J533">
            <v>0</v>
          </cell>
          <cell r="K533">
            <v>0</v>
          </cell>
          <cell r="M533">
            <v>0</v>
          </cell>
          <cell r="N533">
            <v>0</v>
          </cell>
          <cell r="P533">
            <v>0</v>
          </cell>
          <cell r="R533">
            <v>84.3</v>
          </cell>
        </row>
        <row r="534">
          <cell r="C534" t="str">
            <v>Control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M534">
            <v>0</v>
          </cell>
          <cell r="N534">
            <v>0</v>
          </cell>
          <cell r="P534">
            <v>0</v>
          </cell>
          <cell r="R534">
            <v>65.599999999999994</v>
          </cell>
        </row>
        <row r="535">
          <cell r="C535" t="str">
            <v>Control</v>
          </cell>
          <cell r="H535">
            <v>1</v>
          </cell>
          <cell r="I535">
            <v>0</v>
          </cell>
          <cell r="J535">
            <v>0</v>
          </cell>
          <cell r="K535">
            <v>0</v>
          </cell>
          <cell r="M535">
            <v>0</v>
          </cell>
          <cell r="N535">
            <v>0</v>
          </cell>
          <cell r="P535">
            <v>0</v>
          </cell>
          <cell r="R535">
            <v>47.1</v>
          </cell>
        </row>
        <row r="536">
          <cell r="C536" t="str">
            <v>Control</v>
          </cell>
          <cell r="H536">
            <v>1</v>
          </cell>
          <cell r="I536">
            <v>1</v>
          </cell>
          <cell r="J536">
            <v>1</v>
          </cell>
          <cell r="K536">
            <v>0</v>
          </cell>
          <cell r="M536">
            <v>0</v>
          </cell>
          <cell r="N536">
            <v>0</v>
          </cell>
          <cell r="P536">
            <v>0</v>
          </cell>
          <cell r="R536">
            <v>70</v>
          </cell>
        </row>
        <row r="537">
          <cell r="C537" t="str">
            <v>Control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M537">
            <v>0</v>
          </cell>
          <cell r="N537">
            <v>0</v>
          </cell>
          <cell r="P537">
            <v>0</v>
          </cell>
          <cell r="R537">
            <v>54.6</v>
          </cell>
        </row>
        <row r="538">
          <cell r="C538" t="str">
            <v>Control</v>
          </cell>
          <cell r="H538">
            <v>1</v>
          </cell>
          <cell r="I538">
            <v>1</v>
          </cell>
          <cell r="J538">
            <v>0</v>
          </cell>
          <cell r="K538">
            <v>0</v>
          </cell>
          <cell r="M538">
            <v>0</v>
          </cell>
          <cell r="N538">
            <v>1</v>
          </cell>
          <cell r="P538">
            <v>0</v>
          </cell>
          <cell r="R538">
            <v>65.2</v>
          </cell>
        </row>
        <row r="539">
          <cell r="C539" t="str">
            <v>Control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M539">
            <v>0</v>
          </cell>
          <cell r="N539">
            <v>0</v>
          </cell>
          <cell r="P539">
            <v>0</v>
          </cell>
          <cell r="R539">
            <v>65</v>
          </cell>
        </row>
        <row r="540">
          <cell r="C540" t="str">
            <v>Control</v>
          </cell>
          <cell r="H540">
            <v>1</v>
          </cell>
          <cell r="I540">
            <v>1</v>
          </cell>
          <cell r="J540">
            <v>1</v>
          </cell>
          <cell r="K540">
            <v>0</v>
          </cell>
          <cell r="M540">
            <v>0</v>
          </cell>
          <cell r="N540">
            <v>1</v>
          </cell>
          <cell r="P540">
            <v>0</v>
          </cell>
          <cell r="R540">
            <v>42.1</v>
          </cell>
        </row>
        <row r="541">
          <cell r="C541" t="str">
            <v>Control</v>
          </cell>
          <cell r="H541">
            <v>1</v>
          </cell>
          <cell r="I541">
            <v>0</v>
          </cell>
          <cell r="J541">
            <v>0</v>
          </cell>
          <cell r="K541">
            <v>0</v>
          </cell>
          <cell r="M541">
            <v>0</v>
          </cell>
          <cell r="N541">
            <v>0</v>
          </cell>
          <cell r="P541">
            <v>0</v>
          </cell>
          <cell r="R541">
            <v>43.4</v>
          </cell>
        </row>
        <row r="542">
          <cell r="C542" t="str">
            <v>Control</v>
          </cell>
          <cell r="H542">
            <v>1</v>
          </cell>
          <cell r="I542">
            <v>1</v>
          </cell>
          <cell r="J542">
            <v>0</v>
          </cell>
          <cell r="K542">
            <v>0</v>
          </cell>
          <cell r="M542">
            <v>0</v>
          </cell>
          <cell r="N542">
            <v>0</v>
          </cell>
          <cell r="P542">
            <v>0</v>
          </cell>
          <cell r="R542">
            <v>39.9</v>
          </cell>
        </row>
        <row r="543">
          <cell r="C543" t="str">
            <v>Control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M543">
            <v>0</v>
          </cell>
          <cell r="N543">
            <v>0</v>
          </cell>
          <cell r="P543">
            <v>0</v>
          </cell>
          <cell r="R543">
            <v>74.099999999999994</v>
          </cell>
        </row>
        <row r="544">
          <cell r="C544" t="str">
            <v>Control</v>
          </cell>
          <cell r="H544">
            <v>1</v>
          </cell>
          <cell r="I544">
            <v>0</v>
          </cell>
          <cell r="J544">
            <v>0</v>
          </cell>
          <cell r="K544">
            <v>0</v>
          </cell>
          <cell r="M544">
            <v>0</v>
          </cell>
          <cell r="N544">
            <v>0</v>
          </cell>
          <cell r="P544">
            <v>0</v>
          </cell>
          <cell r="R544">
            <v>61.4</v>
          </cell>
        </row>
        <row r="545">
          <cell r="C545" t="str">
            <v>Control</v>
          </cell>
          <cell r="H545">
            <v>1</v>
          </cell>
          <cell r="I545">
            <v>1</v>
          </cell>
          <cell r="J545">
            <v>1</v>
          </cell>
          <cell r="K545">
            <v>0</v>
          </cell>
          <cell r="M545">
            <v>0</v>
          </cell>
          <cell r="N545">
            <v>0</v>
          </cell>
          <cell r="P545">
            <v>0</v>
          </cell>
          <cell r="R545">
            <v>76.8</v>
          </cell>
        </row>
        <row r="546">
          <cell r="C546" t="str">
            <v>Control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M546">
            <v>0</v>
          </cell>
          <cell r="N546">
            <v>0</v>
          </cell>
          <cell r="P546">
            <v>0</v>
          </cell>
        </row>
        <row r="547">
          <cell r="C547" t="str">
            <v>Control</v>
          </cell>
          <cell r="H547">
            <v>1</v>
          </cell>
          <cell r="I547">
            <v>1</v>
          </cell>
          <cell r="J547">
            <v>1</v>
          </cell>
          <cell r="K547">
            <v>0</v>
          </cell>
          <cell r="M547">
            <v>0</v>
          </cell>
          <cell r="N547">
            <v>0</v>
          </cell>
          <cell r="P547">
            <v>0</v>
          </cell>
          <cell r="R547">
            <v>45.3</v>
          </cell>
        </row>
        <row r="548">
          <cell r="C548" t="str">
            <v>Control</v>
          </cell>
          <cell r="H548">
            <v>1</v>
          </cell>
          <cell r="I548">
            <v>0</v>
          </cell>
          <cell r="J548">
            <v>0</v>
          </cell>
          <cell r="K548">
            <v>0</v>
          </cell>
          <cell r="M548">
            <v>0</v>
          </cell>
          <cell r="N548">
            <v>0</v>
          </cell>
          <cell r="P548">
            <v>0</v>
          </cell>
          <cell r="R548">
            <v>41.4</v>
          </cell>
        </row>
        <row r="549">
          <cell r="C549" t="str">
            <v>Control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M549">
            <v>0</v>
          </cell>
          <cell r="N549">
            <v>0</v>
          </cell>
          <cell r="P549">
            <v>0</v>
          </cell>
          <cell r="R549">
            <v>37.1</v>
          </cell>
        </row>
        <row r="550">
          <cell r="C550" t="str">
            <v>Control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M550">
            <v>0</v>
          </cell>
          <cell r="N550">
            <v>0</v>
          </cell>
          <cell r="P550">
            <v>0</v>
          </cell>
          <cell r="R550">
            <v>40.700000000000003</v>
          </cell>
        </row>
        <row r="551">
          <cell r="C551" t="str">
            <v>Control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M551">
            <v>0</v>
          </cell>
          <cell r="N551">
            <v>2</v>
          </cell>
          <cell r="P551">
            <v>0</v>
          </cell>
          <cell r="R551">
            <v>55.9</v>
          </cell>
        </row>
        <row r="552">
          <cell r="C552" t="str">
            <v>Control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M552">
            <v>0</v>
          </cell>
          <cell r="N552">
            <v>0</v>
          </cell>
          <cell r="P552">
            <v>0</v>
          </cell>
          <cell r="R552">
            <v>55.8</v>
          </cell>
        </row>
        <row r="553">
          <cell r="C553" t="str">
            <v>Control</v>
          </cell>
          <cell r="H553">
            <v>1</v>
          </cell>
          <cell r="I553">
            <v>0</v>
          </cell>
          <cell r="J553">
            <v>0</v>
          </cell>
          <cell r="K553">
            <v>0</v>
          </cell>
          <cell r="M553">
            <v>0</v>
          </cell>
          <cell r="N553">
            <v>0</v>
          </cell>
          <cell r="P553">
            <v>0</v>
          </cell>
          <cell r="R553">
            <v>64.3</v>
          </cell>
        </row>
        <row r="554">
          <cell r="C554" t="str">
            <v>Control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M554">
            <v>0</v>
          </cell>
          <cell r="N554">
            <v>0</v>
          </cell>
          <cell r="P554">
            <v>0</v>
          </cell>
          <cell r="R554">
            <v>65.400000000000006</v>
          </cell>
        </row>
        <row r="555">
          <cell r="C555" t="str">
            <v>Control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M555">
            <v>0</v>
          </cell>
          <cell r="N555">
            <v>0</v>
          </cell>
          <cell r="P555">
            <v>0</v>
          </cell>
          <cell r="R555">
            <v>89.8</v>
          </cell>
        </row>
        <row r="556">
          <cell r="C556" t="str">
            <v>Control</v>
          </cell>
          <cell r="H556">
            <v>1</v>
          </cell>
          <cell r="I556">
            <v>1</v>
          </cell>
          <cell r="J556">
            <v>1</v>
          </cell>
          <cell r="K556">
            <v>0</v>
          </cell>
          <cell r="M556">
            <v>0</v>
          </cell>
          <cell r="N556">
            <v>0</v>
          </cell>
          <cell r="P556">
            <v>0</v>
          </cell>
          <cell r="R556">
            <v>58.3</v>
          </cell>
        </row>
        <row r="557">
          <cell r="C557" t="str">
            <v>Control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M557">
            <v>0</v>
          </cell>
          <cell r="N557">
            <v>0</v>
          </cell>
          <cell r="P557">
            <v>0</v>
          </cell>
          <cell r="R557">
            <v>64.400000000000006</v>
          </cell>
        </row>
        <row r="558">
          <cell r="C558" t="str">
            <v>Control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M558">
            <v>0</v>
          </cell>
          <cell r="N558">
            <v>0</v>
          </cell>
          <cell r="P558">
            <v>0</v>
          </cell>
          <cell r="R558">
            <v>46.2</v>
          </cell>
        </row>
        <row r="559">
          <cell r="C559" t="str">
            <v>Control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M559">
            <v>0</v>
          </cell>
          <cell r="N559">
            <v>0</v>
          </cell>
          <cell r="P559">
            <v>0</v>
          </cell>
          <cell r="R559">
            <v>78</v>
          </cell>
        </row>
        <row r="560">
          <cell r="C560" t="str">
            <v>Control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  <cell r="M560">
            <v>0</v>
          </cell>
          <cell r="N560">
            <v>0</v>
          </cell>
          <cell r="P560">
            <v>0</v>
          </cell>
          <cell r="R560">
            <v>62.3</v>
          </cell>
        </row>
        <row r="561">
          <cell r="C561" t="str">
            <v>Control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  <cell r="M561">
            <v>0</v>
          </cell>
          <cell r="N561">
            <v>0</v>
          </cell>
          <cell r="P561">
            <v>0</v>
          </cell>
          <cell r="R561">
            <v>78.8</v>
          </cell>
        </row>
        <row r="562">
          <cell r="C562" t="str">
            <v>Control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M562">
            <v>0</v>
          </cell>
          <cell r="N562">
            <v>0</v>
          </cell>
          <cell r="P562">
            <v>0</v>
          </cell>
          <cell r="R562">
            <v>25</v>
          </cell>
        </row>
        <row r="563">
          <cell r="C563" t="str">
            <v>Control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M563">
            <v>0</v>
          </cell>
          <cell r="N563">
            <v>0</v>
          </cell>
          <cell r="P563">
            <v>0</v>
          </cell>
          <cell r="R563">
            <v>53.4</v>
          </cell>
        </row>
        <row r="564">
          <cell r="C564" t="str">
            <v>Control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M564">
            <v>0</v>
          </cell>
          <cell r="N564">
            <v>0</v>
          </cell>
          <cell r="P564">
            <v>0</v>
          </cell>
          <cell r="R564">
            <v>40.700000000000003</v>
          </cell>
        </row>
        <row r="565">
          <cell r="C565" t="str">
            <v>Control</v>
          </cell>
          <cell r="H565">
            <v>1</v>
          </cell>
          <cell r="I565">
            <v>1</v>
          </cell>
          <cell r="J565">
            <v>0</v>
          </cell>
          <cell r="K565">
            <v>0</v>
          </cell>
          <cell r="M565">
            <v>0</v>
          </cell>
          <cell r="N565">
            <v>0</v>
          </cell>
          <cell r="P565">
            <v>0</v>
          </cell>
          <cell r="R565">
            <v>36.700000000000003</v>
          </cell>
        </row>
        <row r="566">
          <cell r="C566" t="str">
            <v>Control</v>
          </cell>
          <cell r="H566">
            <v>1</v>
          </cell>
          <cell r="I566">
            <v>0</v>
          </cell>
          <cell r="J566">
            <v>0</v>
          </cell>
          <cell r="K566">
            <v>0</v>
          </cell>
          <cell r="M566">
            <v>0</v>
          </cell>
          <cell r="N566">
            <v>1</v>
          </cell>
          <cell r="P566">
            <v>0</v>
          </cell>
          <cell r="R566">
            <v>67.5</v>
          </cell>
        </row>
        <row r="567">
          <cell r="C567" t="str">
            <v>Control</v>
          </cell>
          <cell r="H567">
            <v>1</v>
          </cell>
          <cell r="I567">
            <v>1</v>
          </cell>
          <cell r="J567">
            <v>1</v>
          </cell>
          <cell r="K567">
            <v>0</v>
          </cell>
          <cell r="M567">
            <v>0</v>
          </cell>
          <cell r="N567">
            <v>0</v>
          </cell>
          <cell r="P567">
            <v>0</v>
          </cell>
          <cell r="R567">
            <v>69.900000000000006</v>
          </cell>
        </row>
        <row r="568">
          <cell r="C568" t="str">
            <v>Control</v>
          </cell>
          <cell r="H568">
            <v>1</v>
          </cell>
          <cell r="I568">
            <v>0</v>
          </cell>
          <cell r="J568">
            <v>0</v>
          </cell>
          <cell r="K568">
            <v>0</v>
          </cell>
          <cell r="M568">
            <v>0</v>
          </cell>
          <cell r="N568">
            <v>0</v>
          </cell>
          <cell r="P568">
            <v>0</v>
          </cell>
          <cell r="R568">
            <v>65.099999999999994</v>
          </cell>
        </row>
        <row r="569">
          <cell r="C569" t="str">
            <v>Control</v>
          </cell>
          <cell r="H569">
            <v>1</v>
          </cell>
          <cell r="I569">
            <v>0</v>
          </cell>
          <cell r="J569">
            <v>0</v>
          </cell>
          <cell r="K569">
            <v>0</v>
          </cell>
          <cell r="M569">
            <v>0</v>
          </cell>
          <cell r="N569">
            <v>0</v>
          </cell>
          <cell r="P569">
            <v>0</v>
          </cell>
          <cell r="R569">
            <v>48.7</v>
          </cell>
        </row>
        <row r="570">
          <cell r="C570" t="str">
            <v>Control</v>
          </cell>
          <cell r="H570">
            <v>1</v>
          </cell>
          <cell r="I570">
            <v>1</v>
          </cell>
          <cell r="J570">
            <v>0</v>
          </cell>
          <cell r="K570">
            <v>0</v>
          </cell>
          <cell r="M570">
            <v>0</v>
          </cell>
          <cell r="N570">
            <v>0</v>
          </cell>
          <cell r="P570">
            <v>0</v>
          </cell>
          <cell r="R570">
            <v>47.2</v>
          </cell>
        </row>
        <row r="571">
          <cell r="C571" t="str">
            <v>Control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  <cell r="M571">
            <v>0</v>
          </cell>
          <cell r="N571">
            <v>2</v>
          </cell>
          <cell r="P571">
            <v>0</v>
          </cell>
          <cell r="R571">
            <v>20.3</v>
          </cell>
        </row>
        <row r="572">
          <cell r="C572" t="str">
            <v>Control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M572">
            <v>0</v>
          </cell>
          <cell r="N572">
            <v>1</v>
          </cell>
          <cell r="P572">
            <v>0</v>
          </cell>
          <cell r="R572">
            <v>57.8</v>
          </cell>
        </row>
        <row r="573">
          <cell r="C573" t="str">
            <v>Control</v>
          </cell>
          <cell r="H573">
            <v>1</v>
          </cell>
          <cell r="I573">
            <v>0</v>
          </cell>
          <cell r="J573">
            <v>0</v>
          </cell>
          <cell r="K573">
            <v>0</v>
          </cell>
          <cell r="M573">
            <v>0</v>
          </cell>
          <cell r="N573">
            <v>0</v>
          </cell>
          <cell r="P573">
            <v>0</v>
          </cell>
          <cell r="R573">
            <v>78.7</v>
          </cell>
        </row>
        <row r="574">
          <cell r="C574" t="str">
            <v>Control</v>
          </cell>
          <cell r="H574">
            <v>1</v>
          </cell>
          <cell r="I574">
            <v>0</v>
          </cell>
          <cell r="J574">
            <v>0</v>
          </cell>
          <cell r="K574">
            <v>0</v>
          </cell>
          <cell r="M574">
            <v>0</v>
          </cell>
          <cell r="N574">
            <v>0</v>
          </cell>
          <cell r="P574">
            <v>0</v>
          </cell>
          <cell r="R574">
            <v>63.6</v>
          </cell>
        </row>
        <row r="575">
          <cell r="C575" t="str">
            <v>Control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M575">
            <v>0</v>
          </cell>
          <cell r="N575">
            <v>2</v>
          </cell>
          <cell r="P575">
            <v>0</v>
          </cell>
          <cell r="R575">
            <v>45.1</v>
          </cell>
        </row>
        <row r="576">
          <cell r="C576" t="str">
            <v>Control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M576">
            <v>0</v>
          </cell>
          <cell r="N576">
            <v>0</v>
          </cell>
          <cell r="P576">
            <v>0</v>
          </cell>
          <cell r="R576">
            <v>77.5</v>
          </cell>
        </row>
        <row r="577">
          <cell r="C577" t="str">
            <v>Control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M577">
            <v>0</v>
          </cell>
          <cell r="N577">
            <v>0</v>
          </cell>
          <cell r="P577">
            <v>0</v>
          </cell>
          <cell r="R577">
            <v>58</v>
          </cell>
        </row>
        <row r="578">
          <cell r="C578" t="str">
            <v>Control</v>
          </cell>
          <cell r="H578">
            <v>1</v>
          </cell>
          <cell r="I578">
            <v>0</v>
          </cell>
          <cell r="J578">
            <v>0</v>
          </cell>
          <cell r="K578">
            <v>0</v>
          </cell>
          <cell r="M578">
            <v>0</v>
          </cell>
          <cell r="N578">
            <v>0</v>
          </cell>
          <cell r="P578">
            <v>0</v>
          </cell>
          <cell r="R578">
            <v>68.099999999999994</v>
          </cell>
        </row>
        <row r="579">
          <cell r="C579" t="str">
            <v>Control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M579">
            <v>0</v>
          </cell>
          <cell r="N579">
            <v>0</v>
          </cell>
          <cell r="P579">
            <v>0</v>
          </cell>
          <cell r="R579">
            <v>35.4</v>
          </cell>
        </row>
        <row r="580">
          <cell r="C580" t="str">
            <v>Control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M580">
            <v>0</v>
          </cell>
          <cell r="N580">
            <v>0</v>
          </cell>
          <cell r="P580">
            <v>0</v>
          </cell>
          <cell r="R580">
            <v>47</v>
          </cell>
        </row>
        <row r="581">
          <cell r="C581" t="str">
            <v>Control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M581">
            <v>0</v>
          </cell>
          <cell r="N581">
            <v>0</v>
          </cell>
          <cell r="P581">
            <v>0</v>
          </cell>
          <cell r="R581">
            <v>75</v>
          </cell>
        </row>
        <row r="582">
          <cell r="C582" t="str">
            <v>Control</v>
          </cell>
          <cell r="H582">
            <v>1</v>
          </cell>
          <cell r="I582">
            <v>1</v>
          </cell>
          <cell r="J582">
            <v>1</v>
          </cell>
          <cell r="K582">
            <v>0</v>
          </cell>
          <cell r="M582">
            <v>0</v>
          </cell>
          <cell r="N582">
            <v>3</v>
          </cell>
          <cell r="P582">
            <v>0</v>
          </cell>
          <cell r="R582">
            <v>50.2</v>
          </cell>
        </row>
        <row r="583">
          <cell r="C583" t="str">
            <v>Control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M583">
            <v>0</v>
          </cell>
          <cell r="N583">
            <v>0</v>
          </cell>
          <cell r="P583">
            <v>0</v>
          </cell>
          <cell r="R583">
            <v>40.1</v>
          </cell>
        </row>
        <row r="584">
          <cell r="C584" t="str">
            <v>Control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M584">
            <v>0</v>
          </cell>
          <cell r="N584">
            <v>0</v>
          </cell>
          <cell r="P584">
            <v>0</v>
          </cell>
          <cell r="R584">
            <v>61.1</v>
          </cell>
        </row>
        <row r="585">
          <cell r="C585" t="str">
            <v>Control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M585">
            <v>0</v>
          </cell>
          <cell r="N585">
            <v>0</v>
          </cell>
          <cell r="P585">
            <v>0</v>
          </cell>
          <cell r="R585">
            <v>42.4</v>
          </cell>
        </row>
        <row r="586">
          <cell r="C586" t="str">
            <v>Control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M586">
            <v>0</v>
          </cell>
          <cell r="N586">
            <v>1</v>
          </cell>
          <cell r="P586">
            <v>0</v>
          </cell>
          <cell r="R586">
            <v>46.6</v>
          </cell>
        </row>
        <row r="587">
          <cell r="C587" t="str">
            <v>Control</v>
          </cell>
          <cell r="H587">
            <v>1</v>
          </cell>
          <cell r="I587">
            <v>1</v>
          </cell>
          <cell r="J587">
            <v>0</v>
          </cell>
          <cell r="K587">
            <v>0</v>
          </cell>
          <cell r="M587">
            <v>0</v>
          </cell>
          <cell r="N587">
            <v>0</v>
          </cell>
          <cell r="P587">
            <v>0</v>
          </cell>
          <cell r="R587">
            <v>72.099999999999994</v>
          </cell>
        </row>
        <row r="588">
          <cell r="C588" t="str">
            <v>Control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M588">
            <v>0</v>
          </cell>
          <cell r="N588">
            <v>0</v>
          </cell>
          <cell r="P588">
            <v>0</v>
          </cell>
          <cell r="R588">
            <v>21.5</v>
          </cell>
        </row>
        <row r="589">
          <cell r="C589" t="str">
            <v>Control</v>
          </cell>
          <cell r="H589">
            <v>1</v>
          </cell>
          <cell r="I589">
            <v>0</v>
          </cell>
          <cell r="J589">
            <v>0</v>
          </cell>
          <cell r="K589">
            <v>0</v>
          </cell>
          <cell r="M589">
            <v>0</v>
          </cell>
          <cell r="N589">
            <v>1</v>
          </cell>
          <cell r="P589">
            <v>0</v>
          </cell>
          <cell r="R589">
            <v>65.400000000000006</v>
          </cell>
        </row>
        <row r="590">
          <cell r="C590" t="str">
            <v>Control</v>
          </cell>
          <cell r="H590">
            <v>1</v>
          </cell>
          <cell r="I590">
            <v>1</v>
          </cell>
          <cell r="J590">
            <v>0</v>
          </cell>
          <cell r="K590">
            <v>0</v>
          </cell>
          <cell r="M590">
            <v>0</v>
          </cell>
          <cell r="N590">
            <v>0</v>
          </cell>
          <cell r="P590">
            <v>0</v>
          </cell>
          <cell r="R590">
            <v>53.3</v>
          </cell>
        </row>
        <row r="591">
          <cell r="C591" t="str">
            <v>Control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M591">
            <v>0</v>
          </cell>
          <cell r="N591">
            <v>2</v>
          </cell>
          <cell r="P591">
            <v>0</v>
          </cell>
          <cell r="R591">
            <v>52.3</v>
          </cell>
        </row>
        <row r="592">
          <cell r="C592" t="str">
            <v>Control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M592">
            <v>0</v>
          </cell>
          <cell r="N592">
            <v>0</v>
          </cell>
          <cell r="P592">
            <v>0</v>
          </cell>
          <cell r="R592">
            <v>62.5</v>
          </cell>
        </row>
        <row r="593">
          <cell r="C593" t="str">
            <v>Control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  <cell r="M593">
            <v>0</v>
          </cell>
          <cell r="N593">
            <v>0</v>
          </cell>
          <cell r="P593">
            <v>0</v>
          </cell>
          <cell r="R593">
            <v>69.8</v>
          </cell>
        </row>
        <row r="594">
          <cell r="C594" t="str">
            <v>Control</v>
          </cell>
          <cell r="H594">
            <v>1</v>
          </cell>
          <cell r="I594">
            <v>0</v>
          </cell>
          <cell r="J594">
            <v>0</v>
          </cell>
          <cell r="K594">
            <v>0</v>
          </cell>
          <cell r="M594">
            <v>0</v>
          </cell>
          <cell r="N594">
            <v>0</v>
          </cell>
          <cell r="P594">
            <v>0</v>
          </cell>
          <cell r="R594">
            <v>68.2</v>
          </cell>
        </row>
        <row r="595">
          <cell r="C595" t="str">
            <v>Control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M595">
            <v>751.73</v>
          </cell>
          <cell r="N595">
            <v>0</v>
          </cell>
          <cell r="P595">
            <v>0</v>
          </cell>
          <cell r="Q595">
            <v>6</v>
          </cell>
          <cell r="R595">
            <v>35.200000000000003</v>
          </cell>
        </row>
        <row r="596">
          <cell r="C596" t="str">
            <v>Control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M596">
            <v>0</v>
          </cell>
          <cell r="N596">
            <v>0</v>
          </cell>
          <cell r="P596">
            <v>0</v>
          </cell>
          <cell r="R596">
            <v>59.3</v>
          </cell>
        </row>
        <row r="597">
          <cell r="C597" t="str">
            <v>Control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M597">
            <v>0</v>
          </cell>
          <cell r="N597">
            <v>0</v>
          </cell>
          <cell r="P597">
            <v>0</v>
          </cell>
          <cell r="R597">
            <v>68.099999999999994</v>
          </cell>
        </row>
        <row r="598">
          <cell r="C598" t="str">
            <v>Control</v>
          </cell>
          <cell r="H598">
            <v>1</v>
          </cell>
          <cell r="I598">
            <v>1</v>
          </cell>
          <cell r="J598">
            <v>0</v>
          </cell>
          <cell r="K598">
            <v>0</v>
          </cell>
          <cell r="M598">
            <v>0</v>
          </cell>
          <cell r="N598">
            <v>0</v>
          </cell>
          <cell r="P598">
            <v>0</v>
          </cell>
          <cell r="R598">
            <v>74.8</v>
          </cell>
        </row>
        <row r="599">
          <cell r="C599" t="str">
            <v>Control</v>
          </cell>
          <cell r="H599">
            <v>1</v>
          </cell>
          <cell r="I599">
            <v>1</v>
          </cell>
          <cell r="J599">
            <v>1</v>
          </cell>
          <cell r="K599">
            <v>0</v>
          </cell>
          <cell r="M599">
            <v>0</v>
          </cell>
          <cell r="N599">
            <v>0</v>
          </cell>
          <cell r="P599">
            <v>0</v>
          </cell>
          <cell r="R599">
            <v>61.7</v>
          </cell>
        </row>
        <row r="600">
          <cell r="C600" t="str">
            <v>Control</v>
          </cell>
          <cell r="H600">
            <v>1</v>
          </cell>
          <cell r="I600">
            <v>0</v>
          </cell>
          <cell r="J600">
            <v>0</v>
          </cell>
          <cell r="K600">
            <v>0</v>
          </cell>
          <cell r="M600">
            <v>0</v>
          </cell>
          <cell r="N600">
            <v>0</v>
          </cell>
          <cell r="P600">
            <v>0</v>
          </cell>
          <cell r="R600">
            <v>24.3</v>
          </cell>
        </row>
        <row r="601">
          <cell r="C601" t="str">
            <v>Control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M601">
            <v>0</v>
          </cell>
          <cell r="N601">
            <v>1</v>
          </cell>
          <cell r="P601">
            <v>0</v>
          </cell>
          <cell r="R601">
            <v>61.9</v>
          </cell>
        </row>
        <row r="602">
          <cell r="C602" t="str">
            <v>Control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M602">
            <v>0</v>
          </cell>
          <cell r="N602">
            <v>2</v>
          </cell>
          <cell r="P602">
            <v>0</v>
          </cell>
          <cell r="R602">
            <v>41.7</v>
          </cell>
        </row>
        <row r="603">
          <cell r="C603" t="str">
            <v>Control</v>
          </cell>
          <cell r="H603">
            <v>1</v>
          </cell>
          <cell r="I603">
            <v>0</v>
          </cell>
          <cell r="J603">
            <v>0</v>
          </cell>
          <cell r="K603">
            <v>0</v>
          </cell>
          <cell r="M603">
            <v>0</v>
          </cell>
          <cell r="N603">
            <v>0</v>
          </cell>
          <cell r="P603">
            <v>0</v>
          </cell>
          <cell r="R603">
            <v>87.6</v>
          </cell>
        </row>
        <row r="604">
          <cell r="C604" t="str">
            <v>Control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  <cell r="M604">
            <v>0</v>
          </cell>
          <cell r="N604">
            <v>0</v>
          </cell>
          <cell r="P604">
            <v>0</v>
          </cell>
          <cell r="R604">
            <v>30.8</v>
          </cell>
        </row>
        <row r="605">
          <cell r="C605" t="str">
            <v>Control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M605">
            <v>0</v>
          </cell>
          <cell r="N605">
            <v>0</v>
          </cell>
          <cell r="P605">
            <v>0</v>
          </cell>
          <cell r="R605">
            <v>54</v>
          </cell>
        </row>
        <row r="606">
          <cell r="C606" t="str">
            <v>Control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  <cell r="M606">
            <v>0</v>
          </cell>
          <cell r="N606">
            <v>1</v>
          </cell>
          <cell r="P606">
            <v>0</v>
          </cell>
          <cell r="R606">
            <v>54.5</v>
          </cell>
        </row>
        <row r="607">
          <cell r="C607" t="str">
            <v>Control</v>
          </cell>
          <cell r="H607">
            <v>1</v>
          </cell>
          <cell r="I607">
            <v>1</v>
          </cell>
          <cell r="J607">
            <v>0</v>
          </cell>
          <cell r="K607">
            <v>0</v>
          </cell>
          <cell r="M607">
            <v>0</v>
          </cell>
          <cell r="N607">
            <v>0</v>
          </cell>
          <cell r="P607">
            <v>0</v>
          </cell>
          <cell r="R607">
            <v>61.3</v>
          </cell>
        </row>
        <row r="608">
          <cell r="C608" t="str">
            <v>Control</v>
          </cell>
          <cell r="H608">
            <v>1</v>
          </cell>
          <cell r="I608">
            <v>0</v>
          </cell>
          <cell r="J608">
            <v>0</v>
          </cell>
          <cell r="K608">
            <v>0</v>
          </cell>
          <cell r="M608">
            <v>0</v>
          </cell>
          <cell r="N608">
            <v>0</v>
          </cell>
          <cell r="P608">
            <v>0</v>
          </cell>
          <cell r="R608">
            <v>62.7</v>
          </cell>
        </row>
        <row r="609">
          <cell r="C609" t="str">
            <v>Control</v>
          </cell>
          <cell r="H609">
            <v>1</v>
          </cell>
          <cell r="I609">
            <v>1</v>
          </cell>
          <cell r="J609">
            <v>0</v>
          </cell>
          <cell r="K609">
            <v>0</v>
          </cell>
          <cell r="M609">
            <v>0</v>
          </cell>
          <cell r="N609">
            <v>0</v>
          </cell>
          <cell r="P609">
            <v>0</v>
          </cell>
          <cell r="R609">
            <v>43.1</v>
          </cell>
        </row>
        <row r="610">
          <cell r="C610" t="str">
            <v>Control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M610">
            <v>0</v>
          </cell>
          <cell r="N610">
            <v>0</v>
          </cell>
          <cell r="P610">
            <v>0</v>
          </cell>
          <cell r="R610">
            <v>59.9</v>
          </cell>
        </row>
        <row r="611">
          <cell r="C611" t="str">
            <v>Control</v>
          </cell>
          <cell r="H611">
            <v>1</v>
          </cell>
          <cell r="I611">
            <v>1</v>
          </cell>
          <cell r="J611">
            <v>1</v>
          </cell>
          <cell r="K611">
            <v>0</v>
          </cell>
          <cell r="M611">
            <v>0</v>
          </cell>
          <cell r="N611">
            <v>0</v>
          </cell>
          <cell r="P611">
            <v>0</v>
          </cell>
          <cell r="R611">
            <v>55.7</v>
          </cell>
        </row>
        <row r="612">
          <cell r="C612" t="str">
            <v>Control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  <cell r="M612">
            <v>0</v>
          </cell>
          <cell r="N612">
            <v>0</v>
          </cell>
          <cell r="P612">
            <v>0</v>
          </cell>
          <cell r="R612">
            <v>37.1</v>
          </cell>
        </row>
        <row r="613">
          <cell r="C613" t="str">
            <v>Control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M613">
            <v>0</v>
          </cell>
          <cell r="N613">
            <v>1</v>
          </cell>
          <cell r="P613">
            <v>0</v>
          </cell>
          <cell r="R613">
            <v>46.7</v>
          </cell>
        </row>
        <row r="614">
          <cell r="C614" t="str">
            <v>Control</v>
          </cell>
          <cell r="H614">
            <v>1</v>
          </cell>
          <cell r="I614">
            <v>0</v>
          </cell>
          <cell r="J614">
            <v>0</v>
          </cell>
          <cell r="K614">
            <v>0</v>
          </cell>
          <cell r="M614">
            <v>0</v>
          </cell>
          <cell r="N614">
            <v>0</v>
          </cell>
          <cell r="P614">
            <v>0</v>
          </cell>
          <cell r="R614">
            <v>54.1</v>
          </cell>
        </row>
        <row r="615">
          <cell r="C615" t="str">
            <v>Control</v>
          </cell>
          <cell r="H615">
            <v>1</v>
          </cell>
          <cell r="I615">
            <v>1</v>
          </cell>
          <cell r="J615">
            <v>1</v>
          </cell>
          <cell r="K615">
            <v>0</v>
          </cell>
          <cell r="M615">
            <v>0</v>
          </cell>
          <cell r="N615">
            <v>0</v>
          </cell>
          <cell r="P615">
            <v>0</v>
          </cell>
          <cell r="R615">
            <v>56.1</v>
          </cell>
        </row>
        <row r="616">
          <cell r="C616" t="str">
            <v>Control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M616">
            <v>0</v>
          </cell>
          <cell r="N616">
            <v>0</v>
          </cell>
          <cell r="P616">
            <v>0</v>
          </cell>
          <cell r="R616">
            <v>23.6</v>
          </cell>
        </row>
        <row r="617">
          <cell r="C617" t="str">
            <v>Control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M617">
            <v>0</v>
          </cell>
          <cell r="N617">
            <v>0</v>
          </cell>
          <cell r="P617">
            <v>0</v>
          </cell>
          <cell r="R617">
            <v>54.7</v>
          </cell>
        </row>
        <row r="618">
          <cell r="C618" t="str">
            <v>Control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M618">
            <v>0</v>
          </cell>
          <cell r="N618">
            <v>2</v>
          </cell>
          <cell r="P618">
            <v>0</v>
          </cell>
          <cell r="R618">
            <v>50.4</v>
          </cell>
        </row>
        <row r="619">
          <cell r="C619" t="str">
            <v>Control</v>
          </cell>
          <cell r="H619">
            <v>1</v>
          </cell>
          <cell r="I619">
            <v>0</v>
          </cell>
          <cell r="J619">
            <v>0</v>
          </cell>
          <cell r="K619">
            <v>0</v>
          </cell>
          <cell r="M619">
            <v>0</v>
          </cell>
          <cell r="N619">
            <v>0</v>
          </cell>
          <cell r="P619">
            <v>0</v>
          </cell>
          <cell r="R619">
            <v>54.5</v>
          </cell>
        </row>
        <row r="620">
          <cell r="C620" t="str">
            <v>Control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M620">
            <v>0</v>
          </cell>
          <cell r="N620">
            <v>0</v>
          </cell>
          <cell r="P620">
            <v>0</v>
          </cell>
          <cell r="R620">
            <v>58</v>
          </cell>
        </row>
        <row r="621">
          <cell r="C621" t="str">
            <v>Control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M621">
            <v>0</v>
          </cell>
          <cell r="N621">
            <v>0</v>
          </cell>
          <cell r="P621">
            <v>0</v>
          </cell>
          <cell r="R621">
            <v>42.9</v>
          </cell>
        </row>
        <row r="622">
          <cell r="C622" t="str">
            <v>Control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  <cell r="M622">
            <v>0</v>
          </cell>
          <cell r="N622">
            <v>0</v>
          </cell>
          <cell r="P622">
            <v>0</v>
          </cell>
          <cell r="R622">
            <v>51.1</v>
          </cell>
        </row>
        <row r="623">
          <cell r="C623" t="str">
            <v>Control</v>
          </cell>
          <cell r="H623">
            <v>1</v>
          </cell>
          <cell r="I623">
            <v>1</v>
          </cell>
          <cell r="J623">
            <v>0</v>
          </cell>
          <cell r="K623">
            <v>0</v>
          </cell>
          <cell r="M623">
            <v>0</v>
          </cell>
          <cell r="N623">
            <v>0</v>
          </cell>
          <cell r="P623">
            <v>0</v>
          </cell>
          <cell r="R623">
            <v>51.8</v>
          </cell>
        </row>
        <row r="624">
          <cell r="C624" t="str">
            <v>Control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M624">
            <v>0</v>
          </cell>
          <cell r="N624">
            <v>0</v>
          </cell>
          <cell r="P624">
            <v>0</v>
          </cell>
          <cell r="R624">
            <v>67.7</v>
          </cell>
        </row>
        <row r="625">
          <cell r="C625" t="str">
            <v>Control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M625">
            <v>0</v>
          </cell>
          <cell r="N625">
            <v>0</v>
          </cell>
          <cell r="P625">
            <v>0</v>
          </cell>
          <cell r="R625">
            <v>75.8</v>
          </cell>
        </row>
        <row r="626">
          <cell r="C626" t="str">
            <v>Control</v>
          </cell>
          <cell r="H626">
            <v>1</v>
          </cell>
          <cell r="I626">
            <v>1</v>
          </cell>
          <cell r="J626">
            <v>0</v>
          </cell>
          <cell r="K626">
            <v>0</v>
          </cell>
          <cell r="M626">
            <v>0</v>
          </cell>
          <cell r="N626">
            <v>0</v>
          </cell>
          <cell r="P626">
            <v>0</v>
          </cell>
          <cell r="R626">
            <v>72.8</v>
          </cell>
        </row>
        <row r="627">
          <cell r="C627" t="str">
            <v>Control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M627">
            <v>0</v>
          </cell>
          <cell r="N627">
            <v>0</v>
          </cell>
          <cell r="P627">
            <v>0</v>
          </cell>
          <cell r="R627">
            <v>54.4</v>
          </cell>
        </row>
        <row r="628">
          <cell r="C628" t="str">
            <v>Control</v>
          </cell>
          <cell r="H628">
            <v>1</v>
          </cell>
          <cell r="I628">
            <v>0</v>
          </cell>
          <cell r="J628">
            <v>0</v>
          </cell>
          <cell r="K628">
            <v>0</v>
          </cell>
          <cell r="M628">
            <v>0</v>
          </cell>
          <cell r="N628">
            <v>0</v>
          </cell>
          <cell r="P628">
            <v>0</v>
          </cell>
          <cell r="R628">
            <v>51.8</v>
          </cell>
        </row>
        <row r="629">
          <cell r="C629" t="str">
            <v>Control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M629">
            <v>0</v>
          </cell>
          <cell r="N629">
            <v>0</v>
          </cell>
          <cell r="P629">
            <v>0</v>
          </cell>
          <cell r="R629">
            <v>40.299999999999997</v>
          </cell>
        </row>
        <row r="630">
          <cell r="C630" t="str">
            <v>Control</v>
          </cell>
          <cell r="H630">
            <v>1</v>
          </cell>
          <cell r="I630">
            <v>1</v>
          </cell>
          <cell r="J630">
            <v>1</v>
          </cell>
          <cell r="K630">
            <v>0</v>
          </cell>
          <cell r="M630">
            <v>0</v>
          </cell>
          <cell r="N630">
            <v>0</v>
          </cell>
          <cell r="P630">
            <v>0</v>
          </cell>
          <cell r="R630">
            <v>61.7</v>
          </cell>
        </row>
        <row r="631">
          <cell r="C631" t="str">
            <v>Control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M631">
            <v>0</v>
          </cell>
          <cell r="N631">
            <v>0</v>
          </cell>
          <cell r="P631">
            <v>0</v>
          </cell>
          <cell r="R631">
            <v>45</v>
          </cell>
        </row>
        <row r="632">
          <cell r="C632" t="str">
            <v>Control</v>
          </cell>
          <cell r="H632">
            <v>1</v>
          </cell>
          <cell r="I632">
            <v>1</v>
          </cell>
          <cell r="J632">
            <v>1</v>
          </cell>
          <cell r="K632">
            <v>0</v>
          </cell>
          <cell r="M632">
            <v>0</v>
          </cell>
          <cell r="N632">
            <v>0</v>
          </cell>
          <cell r="P632">
            <v>0</v>
          </cell>
          <cell r="R632">
            <v>60</v>
          </cell>
        </row>
        <row r="633">
          <cell r="C633" t="str">
            <v>Control</v>
          </cell>
          <cell r="H633">
            <v>1</v>
          </cell>
          <cell r="I633">
            <v>0</v>
          </cell>
          <cell r="J633">
            <v>0</v>
          </cell>
          <cell r="K633">
            <v>0</v>
          </cell>
          <cell r="M633">
            <v>0</v>
          </cell>
          <cell r="N633">
            <v>0</v>
          </cell>
          <cell r="P633">
            <v>0</v>
          </cell>
        </row>
        <row r="634">
          <cell r="C634" t="str">
            <v>Control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M634">
            <v>0</v>
          </cell>
          <cell r="N634">
            <v>0</v>
          </cell>
          <cell r="P634">
            <v>0</v>
          </cell>
          <cell r="R634">
            <v>55.5</v>
          </cell>
        </row>
        <row r="635">
          <cell r="C635" t="str">
            <v>Control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M635">
            <v>0</v>
          </cell>
          <cell r="N635">
            <v>0</v>
          </cell>
          <cell r="P635">
            <v>0</v>
          </cell>
          <cell r="R635">
            <v>51.8</v>
          </cell>
        </row>
        <row r="636">
          <cell r="C636" t="str">
            <v>Control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M636">
            <v>0</v>
          </cell>
          <cell r="N636">
            <v>3</v>
          </cell>
          <cell r="P636">
            <v>0</v>
          </cell>
          <cell r="R636">
            <v>56</v>
          </cell>
        </row>
        <row r="637">
          <cell r="C637" t="str">
            <v>Control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M637">
            <v>0</v>
          </cell>
          <cell r="N637">
            <v>0</v>
          </cell>
          <cell r="P637">
            <v>0</v>
          </cell>
          <cell r="R637">
            <v>52.5</v>
          </cell>
        </row>
        <row r="638">
          <cell r="C638" t="str">
            <v>Control</v>
          </cell>
          <cell r="H638">
            <v>1</v>
          </cell>
          <cell r="I638">
            <v>0</v>
          </cell>
          <cell r="J638">
            <v>0</v>
          </cell>
          <cell r="K638">
            <v>0</v>
          </cell>
          <cell r="M638">
            <v>0</v>
          </cell>
          <cell r="N638">
            <v>0</v>
          </cell>
          <cell r="P638">
            <v>0</v>
          </cell>
          <cell r="R638">
            <v>42.5</v>
          </cell>
        </row>
        <row r="639">
          <cell r="C639" t="str">
            <v>Control</v>
          </cell>
          <cell r="H639">
            <v>1</v>
          </cell>
          <cell r="I639">
            <v>1</v>
          </cell>
          <cell r="J639">
            <v>1</v>
          </cell>
          <cell r="K639">
            <v>0</v>
          </cell>
          <cell r="M639">
            <v>0</v>
          </cell>
          <cell r="N639">
            <v>0</v>
          </cell>
          <cell r="P639">
            <v>0</v>
          </cell>
          <cell r="R639">
            <v>65.3</v>
          </cell>
        </row>
        <row r="640">
          <cell r="C640" t="str">
            <v>Control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M640">
            <v>0</v>
          </cell>
          <cell r="N640">
            <v>0</v>
          </cell>
          <cell r="P640">
            <v>0</v>
          </cell>
          <cell r="R640">
            <v>37.6</v>
          </cell>
        </row>
        <row r="641">
          <cell r="C641" t="str">
            <v>Control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M641">
            <v>0</v>
          </cell>
          <cell r="N641">
            <v>0</v>
          </cell>
          <cell r="P641">
            <v>0</v>
          </cell>
          <cell r="R641">
            <v>57.8</v>
          </cell>
        </row>
        <row r="642">
          <cell r="C642" t="str">
            <v>Control</v>
          </cell>
          <cell r="H642">
            <v>1</v>
          </cell>
          <cell r="I642">
            <v>0</v>
          </cell>
          <cell r="J642">
            <v>0</v>
          </cell>
          <cell r="K642">
            <v>0</v>
          </cell>
          <cell r="M642">
            <v>0</v>
          </cell>
          <cell r="N642">
            <v>0</v>
          </cell>
          <cell r="P642">
            <v>0</v>
          </cell>
          <cell r="R642">
            <v>52.7</v>
          </cell>
        </row>
        <row r="643">
          <cell r="C643" t="str">
            <v>Control</v>
          </cell>
          <cell r="H643">
            <v>1</v>
          </cell>
          <cell r="I643">
            <v>0</v>
          </cell>
          <cell r="J643">
            <v>0</v>
          </cell>
          <cell r="K643">
            <v>0</v>
          </cell>
          <cell r="M643">
            <v>0</v>
          </cell>
          <cell r="N643">
            <v>0</v>
          </cell>
          <cell r="P643">
            <v>0</v>
          </cell>
          <cell r="R643">
            <v>51.7</v>
          </cell>
        </row>
        <row r="644">
          <cell r="C644" t="str">
            <v>Control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M644">
            <v>0</v>
          </cell>
          <cell r="N644">
            <v>0</v>
          </cell>
          <cell r="P644">
            <v>0</v>
          </cell>
          <cell r="R644">
            <v>57</v>
          </cell>
        </row>
        <row r="645">
          <cell r="C645" t="str">
            <v>Control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M645">
            <v>0</v>
          </cell>
          <cell r="N645">
            <v>0</v>
          </cell>
          <cell r="P645">
            <v>0</v>
          </cell>
          <cell r="R645">
            <v>39.5</v>
          </cell>
        </row>
        <row r="646">
          <cell r="C646" t="str">
            <v>Control</v>
          </cell>
          <cell r="H646">
            <v>1</v>
          </cell>
          <cell r="I646">
            <v>0</v>
          </cell>
          <cell r="J646">
            <v>0</v>
          </cell>
          <cell r="K646">
            <v>0</v>
          </cell>
          <cell r="M646">
            <v>0</v>
          </cell>
          <cell r="N646">
            <v>0</v>
          </cell>
          <cell r="P646">
            <v>0</v>
          </cell>
          <cell r="R646">
            <v>76.5</v>
          </cell>
        </row>
        <row r="647">
          <cell r="C647" t="str">
            <v>Control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  <cell r="M647">
            <v>0</v>
          </cell>
          <cell r="N647">
            <v>0</v>
          </cell>
          <cell r="P647">
            <v>0</v>
          </cell>
          <cell r="R647">
            <v>32.4</v>
          </cell>
        </row>
        <row r="648">
          <cell r="C648" t="str">
            <v>Control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M648">
            <v>0</v>
          </cell>
          <cell r="N648">
            <v>0</v>
          </cell>
          <cell r="P648">
            <v>0</v>
          </cell>
          <cell r="R648">
            <v>58.6</v>
          </cell>
        </row>
        <row r="649">
          <cell r="C649" t="str">
            <v>Control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  <cell r="M649">
            <v>0</v>
          </cell>
          <cell r="N649">
            <v>0</v>
          </cell>
          <cell r="P649">
            <v>0</v>
          </cell>
          <cell r="R649">
            <v>78.599999999999994</v>
          </cell>
        </row>
        <row r="650">
          <cell r="C650" t="str">
            <v>Control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M650">
            <v>0</v>
          </cell>
          <cell r="N650">
            <v>0</v>
          </cell>
          <cell r="P650">
            <v>0</v>
          </cell>
          <cell r="R650">
            <v>54.5</v>
          </cell>
        </row>
        <row r="651">
          <cell r="C651" t="str">
            <v>Control</v>
          </cell>
          <cell r="H651">
            <v>1</v>
          </cell>
          <cell r="I651">
            <v>0</v>
          </cell>
          <cell r="J651">
            <v>0</v>
          </cell>
          <cell r="K651">
            <v>0</v>
          </cell>
          <cell r="M651">
            <v>0</v>
          </cell>
          <cell r="N651">
            <v>0</v>
          </cell>
          <cell r="P651">
            <v>0</v>
          </cell>
          <cell r="R651">
            <v>57.6</v>
          </cell>
        </row>
        <row r="652">
          <cell r="C652" t="str">
            <v>Control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M652">
            <v>0</v>
          </cell>
          <cell r="N652">
            <v>0</v>
          </cell>
          <cell r="P652">
            <v>0</v>
          </cell>
          <cell r="R652">
            <v>52.8</v>
          </cell>
        </row>
        <row r="653">
          <cell r="C653" t="str">
            <v>Control</v>
          </cell>
          <cell r="H653">
            <v>1</v>
          </cell>
          <cell r="I653">
            <v>0</v>
          </cell>
          <cell r="J653">
            <v>0</v>
          </cell>
          <cell r="K653">
            <v>0</v>
          </cell>
          <cell r="M653">
            <v>0</v>
          </cell>
          <cell r="N653">
            <v>0</v>
          </cell>
          <cell r="P653">
            <v>0</v>
          </cell>
          <cell r="R653">
            <v>52.9</v>
          </cell>
        </row>
        <row r="654">
          <cell r="C654" t="str">
            <v>Control</v>
          </cell>
          <cell r="H654">
            <v>1</v>
          </cell>
          <cell r="I654">
            <v>0</v>
          </cell>
          <cell r="J654">
            <v>0</v>
          </cell>
          <cell r="K654">
            <v>0</v>
          </cell>
          <cell r="M654">
            <v>0</v>
          </cell>
          <cell r="N654">
            <v>1</v>
          </cell>
          <cell r="P654">
            <v>0</v>
          </cell>
          <cell r="R654">
            <v>55.9</v>
          </cell>
        </row>
        <row r="655">
          <cell r="C655" t="str">
            <v>Control</v>
          </cell>
          <cell r="H655">
            <v>1</v>
          </cell>
          <cell r="I655">
            <v>0</v>
          </cell>
          <cell r="J655">
            <v>0</v>
          </cell>
          <cell r="K655">
            <v>0</v>
          </cell>
          <cell r="M655">
            <v>0</v>
          </cell>
          <cell r="N655">
            <v>0</v>
          </cell>
          <cell r="P655">
            <v>0</v>
          </cell>
          <cell r="R655">
            <v>74.2</v>
          </cell>
        </row>
        <row r="656">
          <cell r="C656" t="str">
            <v>Control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M656">
            <v>0</v>
          </cell>
          <cell r="N656">
            <v>0</v>
          </cell>
          <cell r="P656">
            <v>0</v>
          </cell>
          <cell r="R656">
            <v>46.3</v>
          </cell>
        </row>
        <row r="657">
          <cell r="C657" t="str">
            <v>Control</v>
          </cell>
          <cell r="H657">
            <v>1</v>
          </cell>
          <cell r="I657">
            <v>0</v>
          </cell>
          <cell r="J657">
            <v>0</v>
          </cell>
          <cell r="K657">
            <v>0</v>
          </cell>
          <cell r="M657">
            <v>0</v>
          </cell>
          <cell r="N657">
            <v>0</v>
          </cell>
          <cell r="P657">
            <v>0</v>
          </cell>
          <cell r="R657">
            <v>62</v>
          </cell>
        </row>
        <row r="658">
          <cell r="C658" t="str">
            <v>Control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M658">
            <v>0</v>
          </cell>
          <cell r="N658">
            <v>0</v>
          </cell>
          <cell r="P658">
            <v>0</v>
          </cell>
          <cell r="R658">
            <v>55.6</v>
          </cell>
        </row>
        <row r="659">
          <cell r="C659" t="str">
            <v>Control</v>
          </cell>
          <cell r="H659">
            <v>1</v>
          </cell>
          <cell r="I659">
            <v>0</v>
          </cell>
          <cell r="J659">
            <v>0</v>
          </cell>
          <cell r="K659">
            <v>0</v>
          </cell>
          <cell r="M659">
            <v>0</v>
          </cell>
          <cell r="N659">
            <v>0</v>
          </cell>
          <cell r="P659">
            <v>0</v>
          </cell>
          <cell r="R659">
            <v>62.8</v>
          </cell>
        </row>
        <row r="660">
          <cell r="C660" t="str">
            <v>Control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M660">
            <v>0</v>
          </cell>
          <cell r="N660">
            <v>0</v>
          </cell>
          <cell r="P660">
            <v>0</v>
          </cell>
          <cell r="R660">
            <v>73.099999999999994</v>
          </cell>
        </row>
        <row r="661">
          <cell r="C661" t="str">
            <v>Control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M661">
            <v>347.52</v>
          </cell>
          <cell r="N661">
            <v>0</v>
          </cell>
          <cell r="P661">
            <v>0</v>
          </cell>
          <cell r="Q661">
            <v>2</v>
          </cell>
          <cell r="R661">
            <v>57.2</v>
          </cell>
        </row>
        <row r="662">
          <cell r="C662" t="str">
            <v>Control</v>
          </cell>
          <cell r="H662">
            <v>1</v>
          </cell>
          <cell r="I662">
            <v>0</v>
          </cell>
          <cell r="J662">
            <v>0</v>
          </cell>
          <cell r="K662">
            <v>0</v>
          </cell>
          <cell r="M662">
            <v>0</v>
          </cell>
          <cell r="N662">
            <v>0</v>
          </cell>
          <cell r="P662">
            <v>0</v>
          </cell>
          <cell r="R662">
            <v>67.900000000000006</v>
          </cell>
        </row>
        <row r="663">
          <cell r="C663" t="str">
            <v>Control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M663">
            <v>0</v>
          </cell>
          <cell r="N663">
            <v>0</v>
          </cell>
          <cell r="P663">
            <v>0</v>
          </cell>
          <cell r="R663">
            <v>50.1</v>
          </cell>
        </row>
        <row r="664">
          <cell r="C664" t="str">
            <v>Control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M664">
            <v>0</v>
          </cell>
          <cell r="N664">
            <v>0</v>
          </cell>
          <cell r="P664">
            <v>0</v>
          </cell>
          <cell r="R664">
            <v>67.8</v>
          </cell>
        </row>
        <row r="665">
          <cell r="C665" t="str">
            <v>Control</v>
          </cell>
          <cell r="H665">
            <v>1</v>
          </cell>
          <cell r="I665">
            <v>1</v>
          </cell>
          <cell r="J665">
            <v>1</v>
          </cell>
          <cell r="K665">
            <v>0</v>
          </cell>
          <cell r="M665">
            <v>0</v>
          </cell>
          <cell r="N665">
            <v>0</v>
          </cell>
          <cell r="P665">
            <v>0</v>
          </cell>
          <cell r="R665">
            <v>60.8</v>
          </cell>
        </row>
        <row r="666">
          <cell r="C666" t="str">
            <v>Control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  <cell r="M666">
            <v>0</v>
          </cell>
          <cell r="N666">
            <v>3</v>
          </cell>
          <cell r="P666">
            <v>0</v>
          </cell>
          <cell r="R666">
            <v>33.700000000000003</v>
          </cell>
        </row>
        <row r="667">
          <cell r="C667" t="str">
            <v>Control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M667">
            <v>0</v>
          </cell>
          <cell r="N667">
            <v>0</v>
          </cell>
          <cell r="P667">
            <v>0</v>
          </cell>
          <cell r="R667">
            <v>45.2</v>
          </cell>
        </row>
        <row r="668">
          <cell r="C668" t="str">
            <v>Control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M668">
            <v>0</v>
          </cell>
          <cell r="N668">
            <v>0</v>
          </cell>
          <cell r="P668">
            <v>0</v>
          </cell>
          <cell r="R668">
            <v>48.2</v>
          </cell>
        </row>
        <row r="669">
          <cell r="C669" t="str">
            <v>Control</v>
          </cell>
          <cell r="H669">
            <v>1</v>
          </cell>
          <cell r="I669">
            <v>1</v>
          </cell>
          <cell r="J669">
            <v>0</v>
          </cell>
          <cell r="K669">
            <v>0</v>
          </cell>
          <cell r="M669">
            <v>0</v>
          </cell>
          <cell r="N669">
            <v>1</v>
          </cell>
          <cell r="P669">
            <v>0</v>
          </cell>
          <cell r="R669">
            <v>44.8</v>
          </cell>
        </row>
        <row r="670">
          <cell r="C670" t="str">
            <v>Control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M670">
            <v>0</v>
          </cell>
          <cell r="N670">
            <v>0</v>
          </cell>
          <cell r="P670">
            <v>0</v>
          </cell>
          <cell r="R670">
            <v>52.1</v>
          </cell>
        </row>
        <row r="671">
          <cell r="C671" t="str">
            <v>Control</v>
          </cell>
          <cell r="H671">
            <v>1</v>
          </cell>
          <cell r="I671">
            <v>0</v>
          </cell>
          <cell r="J671">
            <v>0</v>
          </cell>
          <cell r="K671">
            <v>0</v>
          </cell>
          <cell r="M671">
            <v>0</v>
          </cell>
          <cell r="N671">
            <v>0</v>
          </cell>
          <cell r="P671">
            <v>0</v>
          </cell>
          <cell r="R671">
            <v>30.7</v>
          </cell>
        </row>
        <row r="672">
          <cell r="C672" t="str">
            <v>Control</v>
          </cell>
          <cell r="H672">
            <v>1</v>
          </cell>
          <cell r="I672">
            <v>0</v>
          </cell>
          <cell r="J672">
            <v>0</v>
          </cell>
          <cell r="K672">
            <v>0</v>
          </cell>
          <cell r="M672">
            <v>0</v>
          </cell>
          <cell r="N672">
            <v>0</v>
          </cell>
          <cell r="P672">
            <v>0</v>
          </cell>
          <cell r="R672">
            <v>58.4</v>
          </cell>
        </row>
        <row r="673">
          <cell r="C673" t="str">
            <v>Control</v>
          </cell>
          <cell r="H673">
            <v>1</v>
          </cell>
          <cell r="I673">
            <v>1</v>
          </cell>
          <cell r="J673">
            <v>0</v>
          </cell>
          <cell r="K673">
            <v>0</v>
          </cell>
          <cell r="M673">
            <v>0</v>
          </cell>
          <cell r="N673">
            <v>0</v>
          </cell>
          <cell r="P673">
            <v>0</v>
          </cell>
          <cell r="R673">
            <v>52.6</v>
          </cell>
        </row>
        <row r="674">
          <cell r="C674" t="str">
            <v>Control</v>
          </cell>
          <cell r="H674">
            <v>1</v>
          </cell>
          <cell r="I674">
            <v>0</v>
          </cell>
          <cell r="J674">
            <v>0</v>
          </cell>
          <cell r="K674">
            <v>0</v>
          </cell>
          <cell r="M674">
            <v>0</v>
          </cell>
          <cell r="N674">
            <v>1</v>
          </cell>
          <cell r="P674">
            <v>0</v>
          </cell>
          <cell r="R674">
            <v>19.100000000000001</v>
          </cell>
        </row>
        <row r="675">
          <cell r="C675" t="str">
            <v>Control</v>
          </cell>
          <cell r="H675">
            <v>1</v>
          </cell>
          <cell r="I675">
            <v>0</v>
          </cell>
          <cell r="J675">
            <v>0</v>
          </cell>
          <cell r="K675">
            <v>0</v>
          </cell>
          <cell r="M675">
            <v>0</v>
          </cell>
          <cell r="N675">
            <v>0</v>
          </cell>
          <cell r="P675">
            <v>0</v>
          </cell>
          <cell r="R675">
            <v>36.799999999999997</v>
          </cell>
        </row>
        <row r="676">
          <cell r="C676" t="str">
            <v>Control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M676">
            <v>0</v>
          </cell>
          <cell r="N676">
            <v>0</v>
          </cell>
          <cell r="P676">
            <v>0</v>
          </cell>
          <cell r="R676">
            <v>68.5</v>
          </cell>
        </row>
        <row r="677">
          <cell r="C677" t="str">
            <v>Control</v>
          </cell>
          <cell r="H677">
            <v>1</v>
          </cell>
          <cell r="I677">
            <v>1</v>
          </cell>
          <cell r="J677">
            <v>1</v>
          </cell>
          <cell r="K677">
            <v>0</v>
          </cell>
          <cell r="M677">
            <v>0</v>
          </cell>
          <cell r="N677">
            <v>0</v>
          </cell>
          <cell r="P677">
            <v>0</v>
          </cell>
          <cell r="R677">
            <v>40.1</v>
          </cell>
        </row>
        <row r="678">
          <cell r="C678" t="str">
            <v>Control</v>
          </cell>
          <cell r="H678">
            <v>1</v>
          </cell>
          <cell r="I678">
            <v>0</v>
          </cell>
          <cell r="J678">
            <v>0</v>
          </cell>
          <cell r="K678">
            <v>0</v>
          </cell>
          <cell r="M678">
            <v>0</v>
          </cell>
          <cell r="N678">
            <v>0</v>
          </cell>
          <cell r="P678">
            <v>0</v>
          </cell>
          <cell r="R678">
            <v>47.5</v>
          </cell>
        </row>
        <row r="679">
          <cell r="C679" t="str">
            <v>Control</v>
          </cell>
          <cell r="H679">
            <v>1</v>
          </cell>
          <cell r="I679">
            <v>0</v>
          </cell>
          <cell r="J679">
            <v>0</v>
          </cell>
          <cell r="K679">
            <v>0</v>
          </cell>
          <cell r="M679">
            <v>0</v>
          </cell>
          <cell r="N679">
            <v>0</v>
          </cell>
          <cell r="P679">
            <v>0</v>
          </cell>
          <cell r="R679">
            <v>77.099999999999994</v>
          </cell>
        </row>
        <row r="680">
          <cell r="C680" t="str">
            <v>Control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  <cell r="M680">
            <v>0</v>
          </cell>
          <cell r="N680">
            <v>0</v>
          </cell>
          <cell r="P680">
            <v>0</v>
          </cell>
          <cell r="R680">
            <v>75.900000000000006</v>
          </cell>
        </row>
        <row r="681">
          <cell r="C681" t="str">
            <v>Control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M681">
            <v>0</v>
          </cell>
          <cell r="N681">
            <v>1</v>
          </cell>
          <cell r="P681">
            <v>0</v>
          </cell>
          <cell r="R681">
            <v>52</v>
          </cell>
        </row>
        <row r="682">
          <cell r="C682" t="str">
            <v>Control</v>
          </cell>
          <cell r="H682">
            <v>1</v>
          </cell>
          <cell r="I682">
            <v>1</v>
          </cell>
          <cell r="J682">
            <v>1</v>
          </cell>
          <cell r="K682">
            <v>0</v>
          </cell>
          <cell r="M682">
            <v>0</v>
          </cell>
          <cell r="N682">
            <v>0</v>
          </cell>
          <cell r="P682">
            <v>0</v>
          </cell>
          <cell r="R682">
            <v>64.900000000000006</v>
          </cell>
        </row>
        <row r="683">
          <cell r="C683" t="str">
            <v>Control</v>
          </cell>
          <cell r="H683">
            <v>1</v>
          </cell>
          <cell r="I683">
            <v>0</v>
          </cell>
          <cell r="J683">
            <v>0</v>
          </cell>
          <cell r="K683">
            <v>0</v>
          </cell>
          <cell r="M683">
            <v>0</v>
          </cell>
          <cell r="N683">
            <v>0</v>
          </cell>
          <cell r="P683">
            <v>0</v>
          </cell>
          <cell r="R683">
            <v>48.2</v>
          </cell>
        </row>
        <row r="684">
          <cell r="C684" t="str">
            <v>Control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M684">
            <v>0</v>
          </cell>
          <cell r="N684">
            <v>0</v>
          </cell>
          <cell r="P684">
            <v>0</v>
          </cell>
          <cell r="R684">
            <v>42.1</v>
          </cell>
        </row>
        <row r="685">
          <cell r="C685" t="str">
            <v>Control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M685">
            <v>0</v>
          </cell>
          <cell r="N685">
            <v>0</v>
          </cell>
          <cell r="P685">
            <v>0</v>
          </cell>
          <cell r="R685">
            <v>27.6</v>
          </cell>
        </row>
        <row r="686">
          <cell r="C686" t="str">
            <v>Control</v>
          </cell>
          <cell r="H686">
            <v>1</v>
          </cell>
          <cell r="I686">
            <v>0</v>
          </cell>
          <cell r="J686">
            <v>0</v>
          </cell>
          <cell r="K686">
            <v>0</v>
          </cell>
          <cell r="M686">
            <v>0</v>
          </cell>
          <cell r="N686">
            <v>1</v>
          </cell>
          <cell r="P686">
            <v>0</v>
          </cell>
          <cell r="R686">
            <v>68.5</v>
          </cell>
        </row>
        <row r="687">
          <cell r="C687" t="str">
            <v>Control</v>
          </cell>
          <cell r="H687">
            <v>1</v>
          </cell>
          <cell r="I687">
            <v>1</v>
          </cell>
          <cell r="J687">
            <v>1</v>
          </cell>
          <cell r="K687">
            <v>0</v>
          </cell>
          <cell r="M687">
            <v>0</v>
          </cell>
          <cell r="N687">
            <v>0</v>
          </cell>
          <cell r="P687">
            <v>0</v>
          </cell>
          <cell r="R687">
            <v>59.2</v>
          </cell>
        </row>
        <row r="688">
          <cell r="C688" t="str">
            <v>Control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M688">
            <v>0</v>
          </cell>
          <cell r="N688">
            <v>0</v>
          </cell>
          <cell r="P688">
            <v>0</v>
          </cell>
          <cell r="R688">
            <v>63.3</v>
          </cell>
        </row>
        <row r="689">
          <cell r="C689" t="str">
            <v>Control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M689">
            <v>0</v>
          </cell>
          <cell r="N689">
            <v>0</v>
          </cell>
          <cell r="P689">
            <v>0</v>
          </cell>
          <cell r="R689">
            <v>55</v>
          </cell>
        </row>
        <row r="690">
          <cell r="C690" t="str">
            <v>Control</v>
          </cell>
          <cell r="H690">
            <v>1</v>
          </cell>
          <cell r="I690">
            <v>0</v>
          </cell>
          <cell r="J690">
            <v>0</v>
          </cell>
          <cell r="K690">
            <v>0</v>
          </cell>
          <cell r="M690">
            <v>0</v>
          </cell>
          <cell r="N690">
            <v>0</v>
          </cell>
          <cell r="P690">
            <v>0</v>
          </cell>
          <cell r="R690">
            <v>64.8</v>
          </cell>
        </row>
        <row r="691">
          <cell r="C691" t="str">
            <v>Control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M691">
            <v>0</v>
          </cell>
          <cell r="N691">
            <v>2</v>
          </cell>
          <cell r="P691">
            <v>0</v>
          </cell>
          <cell r="R691">
            <v>41.8</v>
          </cell>
        </row>
        <row r="692">
          <cell r="C692" t="str">
            <v>Treatment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M692">
            <v>0</v>
          </cell>
          <cell r="N692">
            <v>0</v>
          </cell>
          <cell r="P692">
            <v>0</v>
          </cell>
          <cell r="R692">
            <v>73.2</v>
          </cell>
        </row>
        <row r="693">
          <cell r="C693" t="str">
            <v>Treatment</v>
          </cell>
          <cell r="H693">
            <v>1</v>
          </cell>
          <cell r="I693">
            <v>1</v>
          </cell>
          <cell r="J693">
            <v>1</v>
          </cell>
          <cell r="K693">
            <v>0</v>
          </cell>
          <cell r="M693">
            <v>0</v>
          </cell>
          <cell r="N693">
            <v>3</v>
          </cell>
          <cell r="P693">
            <v>0</v>
          </cell>
          <cell r="R693">
            <v>55.7</v>
          </cell>
        </row>
        <row r="694">
          <cell r="C694" t="str">
            <v>Treatment</v>
          </cell>
          <cell r="H694">
            <v>1</v>
          </cell>
          <cell r="I694">
            <v>1</v>
          </cell>
          <cell r="J694">
            <v>1</v>
          </cell>
          <cell r="K694">
            <v>0</v>
          </cell>
          <cell r="M694">
            <v>0</v>
          </cell>
          <cell r="N694">
            <v>0</v>
          </cell>
          <cell r="P694">
            <v>0</v>
          </cell>
          <cell r="R694">
            <v>82.8</v>
          </cell>
        </row>
        <row r="695">
          <cell r="C695" t="str">
            <v>Treatment</v>
          </cell>
          <cell r="H695">
            <v>1</v>
          </cell>
          <cell r="I695">
            <v>0</v>
          </cell>
          <cell r="J695">
            <v>0</v>
          </cell>
          <cell r="K695">
            <v>0</v>
          </cell>
          <cell r="M695">
            <v>0</v>
          </cell>
          <cell r="N695">
            <v>0</v>
          </cell>
          <cell r="P695">
            <v>0</v>
          </cell>
        </row>
        <row r="696">
          <cell r="C696" t="str">
            <v>Treatment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M696">
            <v>0</v>
          </cell>
          <cell r="N696">
            <v>0</v>
          </cell>
          <cell r="P696">
            <v>0</v>
          </cell>
          <cell r="R696">
            <v>34.4</v>
          </cell>
        </row>
        <row r="697">
          <cell r="C697" t="str">
            <v>Treatment</v>
          </cell>
          <cell r="H697">
            <v>1</v>
          </cell>
          <cell r="I697">
            <v>0</v>
          </cell>
          <cell r="J697">
            <v>0</v>
          </cell>
          <cell r="K697">
            <v>0</v>
          </cell>
          <cell r="M697">
            <v>0</v>
          </cell>
          <cell r="N697">
            <v>0</v>
          </cell>
          <cell r="P697">
            <v>0</v>
          </cell>
          <cell r="R697">
            <v>45.2</v>
          </cell>
        </row>
        <row r="698">
          <cell r="C698" t="str">
            <v>Treatment</v>
          </cell>
          <cell r="H698">
            <v>1</v>
          </cell>
          <cell r="I698">
            <v>0</v>
          </cell>
          <cell r="J698">
            <v>0</v>
          </cell>
          <cell r="K698">
            <v>0</v>
          </cell>
          <cell r="M698">
            <v>0</v>
          </cell>
          <cell r="N698">
            <v>0</v>
          </cell>
          <cell r="P698">
            <v>0</v>
          </cell>
          <cell r="R698">
            <v>71.599999999999994</v>
          </cell>
        </row>
        <row r="699">
          <cell r="C699" t="str">
            <v>Treatment</v>
          </cell>
          <cell r="H699">
            <v>1</v>
          </cell>
          <cell r="I699">
            <v>1</v>
          </cell>
          <cell r="J699">
            <v>1</v>
          </cell>
          <cell r="K699">
            <v>0</v>
          </cell>
          <cell r="M699">
            <v>0</v>
          </cell>
          <cell r="N699">
            <v>0</v>
          </cell>
          <cell r="P699">
            <v>0</v>
          </cell>
          <cell r="R699">
            <v>69.099999999999994</v>
          </cell>
        </row>
        <row r="700">
          <cell r="C700" t="str">
            <v>Treatment</v>
          </cell>
          <cell r="H700">
            <v>1</v>
          </cell>
          <cell r="I700">
            <v>0</v>
          </cell>
          <cell r="J700">
            <v>0</v>
          </cell>
          <cell r="K700">
            <v>0</v>
          </cell>
          <cell r="M700">
            <v>0</v>
          </cell>
          <cell r="N700">
            <v>1</v>
          </cell>
          <cell r="P700">
            <v>0</v>
          </cell>
          <cell r="R700">
            <v>37.700000000000003</v>
          </cell>
        </row>
        <row r="701">
          <cell r="C701" t="str">
            <v>Treatment</v>
          </cell>
          <cell r="H701">
            <v>1</v>
          </cell>
          <cell r="I701">
            <v>0</v>
          </cell>
          <cell r="J701">
            <v>0</v>
          </cell>
          <cell r="K701">
            <v>0</v>
          </cell>
          <cell r="M701">
            <v>0</v>
          </cell>
          <cell r="N701">
            <v>1</v>
          </cell>
          <cell r="P701">
            <v>0</v>
          </cell>
          <cell r="R701">
            <v>60.8</v>
          </cell>
        </row>
        <row r="702">
          <cell r="C702" t="str">
            <v>Treatment</v>
          </cell>
          <cell r="H702">
            <v>1</v>
          </cell>
          <cell r="I702">
            <v>1</v>
          </cell>
          <cell r="J702">
            <v>1</v>
          </cell>
          <cell r="K702">
            <v>1</v>
          </cell>
          <cell r="M702">
            <v>444.13</v>
          </cell>
          <cell r="N702">
            <v>0</v>
          </cell>
          <cell r="P702">
            <v>0</v>
          </cell>
          <cell r="Q702">
            <v>10</v>
          </cell>
          <cell r="R702">
            <v>80.7</v>
          </cell>
        </row>
        <row r="703">
          <cell r="C703" t="str">
            <v>Treatment</v>
          </cell>
          <cell r="H703">
            <v>1</v>
          </cell>
          <cell r="I703">
            <v>0</v>
          </cell>
          <cell r="J703">
            <v>0</v>
          </cell>
          <cell r="K703">
            <v>0</v>
          </cell>
          <cell r="M703">
            <v>0</v>
          </cell>
          <cell r="N703">
            <v>0</v>
          </cell>
          <cell r="P703">
            <v>0</v>
          </cell>
          <cell r="R703">
            <v>69.2</v>
          </cell>
        </row>
        <row r="704">
          <cell r="C704" t="str">
            <v>Treatment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M704">
            <v>0</v>
          </cell>
          <cell r="N704">
            <v>3</v>
          </cell>
          <cell r="P704">
            <v>0</v>
          </cell>
          <cell r="R704">
            <v>55</v>
          </cell>
        </row>
        <row r="705">
          <cell r="C705" t="str">
            <v>Treatment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M705">
            <v>0</v>
          </cell>
          <cell r="N705">
            <v>1</v>
          </cell>
          <cell r="P705">
            <v>0</v>
          </cell>
          <cell r="R705">
            <v>73.599999999999994</v>
          </cell>
        </row>
        <row r="706">
          <cell r="C706" t="str">
            <v>Treatment</v>
          </cell>
          <cell r="H706">
            <v>1</v>
          </cell>
          <cell r="I706">
            <v>1</v>
          </cell>
          <cell r="J706">
            <v>1</v>
          </cell>
          <cell r="K706">
            <v>0</v>
          </cell>
          <cell r="M706">
            <v>0</v>
          </cell>
          <cell r="N706">
            <v>1</v>
          </cell>
          <cell r="P706">
            <v>0</v>
          </cell>
          <cell r="R706">
            <v>47.3</v>
          </cell>
        </row>
        <row r="707">
          <cell r="C707" t="str">
            <v>Treatment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M707">
            <v>0</v>
          </cell>
          <cell r="N707">
            <v>0</v>
          </cell>
          <cell r="P707">
            <v>0</v>
          </cell>
          <cell r="R707">
            <v>43.6</v>
          </cell>
        </row>
        <row r="708">
          <cell r="C708" t="str">
            <v>Treatment</v>
          </cell>
          <cell r="H708">
            <v>1</v>
          </cell>
          <cell r="I708">
            <v>0</v>
          </cell>
          <cell r="J708">
            <v>0</v>
          </cell>
          <cell r="K708">
            <v>0</v>
          </cell>
          <cell r="M708">
            <v>0</v>
          </cell>
          <cell r="N708">
            <v>0</v>
          </cell>
          <cell r="P708">
            <v>0</v>
          </cell>
        </row>
        <row r="709">
          <cell r="C709" t="str">
            <v>Treatment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M709">
            <v>0</v>
          </cell>
          <cell r="N709">
            <v>0</v>
          </cell>
          <cell r="P709">
            <v>0</v>
          </cell>
          <cell r="R709">
            <v>55.2</v>
          </cell>
        </row>
        <row r="710">
          <cell r="C710" t="str">
            <v>Treatment</v>
          </cell>
          <cell r="H710">
            <v>1</v>
          </cell>
          <cell r="I710">
            <v>0</v>
          </cell>
          <cell r="J710">
            <v>0</v>
          </cell>
          <cell r="K710">
            <v>0</v>
          </cell>
          <cell r="M710">
            <v>0</v>
          </cell>
          <cell r="N710">
            <v>0</v>
          </cell>
          <cell r="P710">
            <v>0</v>
          </cell>
          <cell r="R710">
            <v>49.4</v>
          </cell>
        </row>
        <row r="711">
          <cell r="C711" t="str">
            <v>Treatment</v>
          </cell>
          <cell r="H711">
            <v>1</v>
          </cell>
          <cell r="I711">
            <v>1</v>
          </cell>
          <cell r="J711">
            <v>1</v>
          </cell>
          <cell r="K711">
            <v>0</v>
          </cell>
          <cell r="M711">
            <v>0</v>
          </cell>
          <cell r="N711">
            <v>1</v>
          </cell>
          <cell r="P711">
            <v>0</v>
          </cell>
          <cell r="R711">
            <v>60.1</v>
          </cell>
        </row>
        <row r="712">
          <cell r="C712" t="str">
            <v>Treatment</v>
          </cell>
          <cell r="H712">
            <v>1</v>
          </cell>
          <cell r="I712">
            <v>0</v>
          </cell>
          <cell r="J712">
            <v>0</v>
          </cell>
          <cell r="K712">
            <v>0</v>
          </cell>
          <cell r="M712">
            <v>0</v>
          </cell>
          <cell r="N712">
            <v>0</v>
          </cell>
          <cell r="P712">
            <v>0</v>
          </cell>
          <cell r="R712">
            <v>55.9</v>
          </cell>
        </row>
        <row r="713">
          <cell r="C713" t="str">
            <v>Treatment</v>
          </cell>
          <cell r="H713">
            <v>1</v>
          </cell>
          <cell r="I713">
            <v>0</v>
          </cell>
          <cell r="J713">
            <v>0</v>
          </cell>
          <cell r="K713">
            <v>0</v>
          </cell>
          <cell r="M713">
            <v>0</v>
          </cell>
          <cell r="N713">
            <v>0</v>
          </cell>
          <cell r="P713">
            <v>0</v>
          </cell>
          <cell r="R713">
            <v>51.5</v>
          </cell>
        </row>
        <row r="714">
          <cell r="C714" t="str">
            <v>Treatment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M714">
            <v>516.66999999999996</v>
          </cell>
          <cell r="N714">
            <v>0</v>
          </cell>
          <cell r="P714">
            <v>0</v>
          </cell>
          <cell r="Q714">
            <v>11</v>
          </cell>
          <cell r="R714">
            <v>57.9</v>
          </cell>
        </row>
        <row r="715">
          <cell r="C715" t="str">
            <v>Treatment</v>
          </cell>
          <cell r="H715">
            <v>1</v>
          </cell>
          <cell r="I715">
            <v>1</v>
          </cell>
          <cell r="J715">
            <v>1</v>
          </cell>
          <cell r="K715">
            <v>1</v>
          </cell>
          <cell r="M715">
            <v>277.18</v>
          </cell>
          <cell r="N715">
            <v>2</v>
          </cell>
          <cell r="P715">
            <v>0</v>
          </cell>
          <cell r="Q715">
            <v>8</v>
          </cell>
          <cell r="R715">
            <v>59.2</v>
          </cell>
        </row>
        <row r="716">
          <cell r="C716" t="str">
            <v>Treatment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M716">
            <v>0</v>
          </cell>
          <cell r="N716">
            <v>0</v>
          </cell>
          <cell r="P716">
            <v>0</v>
          </cell>
          <cell r="R716">
            <v>64.2</v>
          </cell>
        </row>
        <row r="717">
          <cell r="C717" t="str">
            <v>Treatment</v>
          </cell>
          <cell r="H717">
            <v>1</v>
          </cell>
          <cell r="I717">
            <v>0</v>
          </cell>
          <cell r="J717">
            <v>0</v>
          </cell>
          <cell r="K717">
            <v>0</v>
          </cell>
          <cell r="M717">
            <v>0</v>
          </cell>
          <cell r="N717">
            <v>0</v>
          </cell>
          <cell r="P717">
            <v>0</v>
          </cell>
          <cell r="R717">
            <v>68.8</v>
          </cell>
        </row>
        <row r="718">
          <cell r="C718" t="str">
            <v>Treatment</v>
          </cell>
          <cell r="H718">
            <v>1</v>
          </cell>
          <cell r="I718">
            <v>1</v>
          </cell>
          <cell r="J718">
            <v>1</v>
          </cell>
          <cell r="K718">
            <v>0</v>
          </cell>
          <cell r="M718">
            <v>0</v>
          </cell>
          <cell r="N718">
            <v>0</v>
          </cell>
          <cell r="P718">
            <v>0</v>
          </cell>
          <cell r="R718">
            <v>77.900000000000006</v>
          </cell>
        </row>
        <row r="719">
          <cell r="C719" t="str">
            <v>Treatment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M719">
            <v>0</v>
          </cell>
          <cell r="N719">
            <v>0</v>
          </cell>
          <cell r="P719">
            <v>0</v>
          </cell>
          <cell r="R719">
            <v>92.1</v>
          </cell>
        </row>
        <row r="720">
          <cell r="C720" t="str">
            <v>Treatment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M720">
            <v>0</v>
          </cell>
          <cell r="N720">
            <v>0</v>
          </cell>
          <cell r="P720">
            <v>0</v>
          </cell>
          <cell r="R720">
            <v>63.6</v>
          </cell>
        </row>
        <row r="721">
          <cell r="C721" t="str">
            <v>Treatment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M721">
            <v>0</v>
          </cell>
          <cell r="N721">
            <v>2</v>
          </cell>
          <cell r="P721">
            <v>0</v>
          </cell>
          <cell r="R721">
            <v>61.6</v>
          </cell>
        </row>
        <row r="722">
          <cell r="C722" t="str">
            <v>Treatment</v>
          </cell>
          <cell r="H722">
            <v>1</v>
          </cell>
          <cell r="I722">
            <v>1</v>
          </cell>
          <cell r="J722">
            <v>0</v>
          </cell>
          <cell r="K722">
            <v>0</v>
          </cell>
          <cell r="M722">
            <v>0</v>
          </cell>
          <cell r="N722">
            <v>0</v>
          </cell>
          <cell r="P722">
            <v>0</v>
          </cell>
          <cell r="R722">
            <v>82.3</v>
          </cell>
        </row>
        <row r="723">
          <cell r="C723" t="str">
            <v>Treatment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  <cell r="M723">
            <v>0</v>
          </cell>
          <cell r="N723">
            <v>0</v>
          </cell>
          <cell r="P723">
            <v>0</v>
          </cell>
          <cell r="R723">
            <v>79.3</v>
          </cell>
        </row>
        <row r="724">
          <cell r="C724" t="str">
            <v>Treatment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M724">
            <v>0</v>
          </cell>
          <cell r="N724">
            <v>0</v>
          </cell>
          <cell r="P724">
            <v>0</v>
          </cell>
          <cell r="R724">
            <v>57.7</v>
          </cell>
        </row>
        <row r="725">
          <cell r="C725" t="str">
            <v>Treatment</v>
          </cell>
          <cell r="H725">
            <v>1</v>
          </cell>
          <cell r="I725">
            <v>0</v>
          </cell>
          <cell r="J725">
            <v>0</v>
          </cell>
          <cell r="K725">
            <v>0</v>
          </cell>
          <cell r="M725">
            <v>0</v>
          </cell>
          <cell r="N725">
            <v>0</v>
          </cell>
          <cell r="P725">
            <v>0</v>
          </cell>
          <cell r="R725">
            <v>63.1</v>
          </cell>
        </row>
        <row r="726">
          <cell r="C726" t="str">
            <v>Treatment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M726">
            <v>0</v>
          </cell>
          <cell r="N726">
            <v>0</v>
          </cell>
          <cell r="P726">
            <v>0</v>
          </cell>
          <cell r="R726">
            <v>72.3</v>
          </cell>
        </row>
        <row r="727">
          <cell r="C727" t="str">
            <v>Treatment</v>
          </cell>
          <cell r="H727">
            <v>1</v>
          </cell>
          <cell r="I727">
            <v>1</v>
          </cell>
          <cell r="J727">
            <v>1</v>
          </cell>
          <cell r="K727">
            <v>0</v>
          </cell>
          <cell r="M727">
            <v>0</v>
          </cell>
          <cell r="N727">
            <v>0</v>
          </cell>
          <cell r="P727">
            <v>0</v>
          </cell>
          <cell r="R727">
            <v>78</v>
          </cell>
        </row>
        <row r="728">
          <cell r="C728" t="str">
            <v>Treatment</v>
          </cell>
          <cell r="H728">
            <v>1</v>
          </cell>
          <cell r="I728">
            <v>1</v>
          </cell>
          <cell r="J728">
            <v>0</v>
          </cell>
          <cell r="K728">
            <v>0</v>
          </cell>
          <cell r="M728">
            <v>0</v>
          </cell>
          <cell r="N728">
            <v>2</v>
          </cell>
          <cell r="P728">
            <v>0</v>
          </cell>
          <cell r="R728">
            <v>59.1</v>
          </cell>
        </row>
        <row r="729">
          <cell r="C729" t="str">
            <v>Treatment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M729">
            <v>604.09</v>
          </cell>
          <cell r="N729">
            <v>0</v>
          </cell>
          <cell r="P729">
            <v>0</v>
          </cell>
          <cell r="Q729">
            <v>7</v>
          </cell>
          <cell r="R729">
            <v>47.1</v>
          </cell>
        </row>
        <row r="730">
          <cell r="C730" t="str">
            <v>Treatment</v>
          </cell>
          <cell r="H730">
            <v>1</v>
          </cell>
          <cell r="I730">
            <v>0</v>
          </cell>
          <cell r="J730">
            <v>0</v>
          </cell>
          <cell r="K730">
            <v>0</v>
          </cell>
          <cell r="M730">
            <v>0</v>
          </cell>
          <cell r="N730">
            <v>0</v>
          </cell>
          <cell r="P730">
            <v>0</v>
          </cell>
          <cell r="R730">
            <v>64.900000000000006</v>
          </cell>
        </row>
        <row r="731">
          <cell r="C731" t="str">
            <v>Treatment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M731">
            <v>0</v>
          </cell>
          <cell r="N731">
            <v>0</v>
          </cell>
          <cell r="P731">
            <v>0</v>
          </cell>
          <cell r="R731">
            <v>67.3</v>
          </cell>
        </row>
        <row r="732">
          <cell r="C732" t="str">
            <v>Treatment</v>
          </cell>
          <cell r="H732">
            <v>1</v>
          </cell>
          <cell r="I732">
            <v>0</v>
          </cell>
          <cell r="J732">
            <v>0</v>
          </cell>
          <cell r="K732">
            <v>0</v>
          </cell>
          <cell r="M732">
            <v>0</v>
          </cell>
          <cell r="N732">
            <v>2</v>
          </cell>
          <cell r="P732">
            <v>0</v>
          </cell>
          <cell r="R732">
            <v>52.9</v>
          </cell>
        </row>
        <row r="733">
          <cell r="C733" t="str">
            <v>Treatment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M733">
            <v>442.37</v>
          </cell>
          <cell r="N733">
            <v>1</v>
          </cell>
          <cell r="P733">
            <v>0</v>
          </cell>
          <cell r="Q733">
            <v>4</v>
          </cell>
          <cell r="R733">
            <v>69.900000000000006</v>
          </cell>
        </row>
        <row r="734">
          <cell r="C734" t="str">
            <v>Treatment</v>
          </cell>
          <cell r="H734">
            <v>1</v>
          </cell>
          <cell r="I734">
            <v>1</v>
          </cell>
          <cell r="J734">
            <v>1</v>
          </cell>
          <cell r="K734">
            <v>0</v>
          </cell>
          <cell r="M734">
            <v>0</v>
          </cell>
          <cell r="N734">
            <v>0</v>
          </cell>
          <cell r="P734">
            <v>0</v>
          </cell>
          <cell r="R734">
            <v>78.900000000000006</v>
          </cell>
        </row>
        <row r="735">
          <cell r="C735" t="str">
            <v>Treatment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M735">
            <v>0</v>
          </cell>
          <cell r="N735">
            <v>0</v>
          </cell>
          <cell r="P735">
            <v>0</v>
          </cell>
          <cell r="R735">
            <v>83.3</v>
          </cell>
        </row>
        <row r="736">
          <cell r="C736" t="str">
            <v>Treatment</v>
          </cell>
          <cell r="H736">
            <v>1</v>
          </cell>
          <cell r="I736">
            <v>0</v>
          </cell>
          <cell r="J736">
            <v>0</v>
          </cell>
          <cell r="K736">
            <v>0</v>
          </cell>
          <cell r="M736">
            <v>0</v>
          </cell>
          <cell r="N736">
            <v>1</v>
          </cell>
          <cell r="P736">
            <v>0</v>
          </cell>
          <cell r="R736">
            <v>24.5</v>
          </cell>
        </row>
        <row r="737">
          <cell r="C737" t="str">
            <v>Treatment</v>
          </cell>
          <cell r="H737">
            <v>1</v>
          </cell>
          <cell r="I737">
            <v>1</v>
          </cell>
          <cell r="J737">
            <v>0</v>
          </cell>
          <cell r="K737">
            <v>0</v>
          </cell>
          <cell r="M737">
            <v>0</v>
          </cell>
          <cell r="N737">
            <v>1</v>
          </cell>
          <cell r="P737">
            <v>0</v>
          </cell>
          <cell r="R737">
            <v>56.9</v>
          </cell>
        </row>
        <row r="738">
          <cell r="C738" t="str">
            <v>Treatment</v>
          </cell>
          <cell r="H738">
            <v>1</v>
          </cell>
          <cell r="I738">
            <v>0</v>
          </cell>
          <cell r="J738">
            <v>0</v>
          </cell>
          <cell r="K738">
            <v>0</v>
          </cell>
          <cell r="M738">
            <v>0</v>
          </cell>
          <cell r="N738">
            <v>0</v>
          </cell>
          <cell r="P738">
            <v>0</v>
          </cell>
          <cell r="R738">
            <v>69.900000000000006</v>
          </cell>
        </row>
        <row r="739">
          <cell r="C739" t="str">
            <v>Treatment</v>
          </cell>
          <cell r="H739">
            <v>1</v>
          </cell>
          <cell r="I739">
            <v>1</v>
          </cell>
          <cell r="J739">
            <v>1</v>
          </cell>
          <cell r="K739">
            <v>0</v>
          </cell>
          <cell r="M739">
            <v>0</v>
          </cell>
          <cell r="N739">
            <v>0</v>
          </cell>
          <cell r="P739">
            <v>0</v>
          </cell>
          <cell r="R739">
            <v>81.5</v>
          </cell>
        </row>
        <row r="740">
          <cell r="C740" t="str">
            <v>Treatment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M740">
            <v>0</v>
          </cell>
          <cell r="N740">
            <v>2</v>
          </cell>
          <cell r="P740">
            <v>0</v>
          </cell>
          <cell r="R740">
            <v>37.9</v>
          </cell>
        </row>
        <row r="741">
          <cell r="C741" t="str">
            <v>Treatment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M741">
            <v>0</v>
          </cell>
          <cell r="N741">
            <v>1</v>
          </cell>
          <cell r="P741">
            <v>0</v>
          </cell>
          <cell r="R741">
            <v>61.7</v>
          </cell>
        </row>
        <row r="742">
          <cell r="C742" t="str">
            <v>Treatment</v>
          </cell>
          <cell r="H742">
            <v>1</v>
          </cell>
          <cell r="I742">
            <v>0</v>
          </cell>
          <cell r="J742">
            <v>0</v>
          </cell>
          <cell r="K742">
            <v>0</v>
          </cell>
          <cell r="M742">
            <v>0</v>
          </cell>
          <cell r="N742">
            <v>2</v>
          </cell>
          <cell r="P742">
            <v>0</v>
          </cell>
          <cell r="R742">
            <v>53.2</v>
          </cell>
        </row>
        <row r="743">
          <cell r="C743" t="str">
            <v>Treatment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M743">
            <v>0</v>
          </cell>
          <cell r="N743">
            <v>0</v>
          </cell>
          <cell r="P743">
            <v>0</v>
          </cell>
          <cell r="R743">
            <v>61.9</v>
          </cell>
        </row>
        <row r="744">
          <cell r="C744" t="str">
            <v>Treatment</v>
          </cell>
          <cell r="H744">
            <v>1</v>
          </cell>
          <cell r="I744">
            <v>1</v>
          </cell>
          <cell r="J744">
            <v>1</v>
          </cell>
          <cell r="K744">
            <v>0</v>
          </cell>
          <cell r="M744">
            <v>0</v>
          </cell>
          <cell r="N744">
            <v>0</v>
          </cell>
          <cell r="P744">
            <v>0</v>
          </cell>
          <cell r="R744">
            <v>68.900000000000006</v>
          </cell>
        </row>
        <row r="745">
          <cell r="C745" t="str">
            <v>Treatment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M745">
            <v>0</v>
          </cell>
          <cell r="N745">
            <v>0</v>
          </cell>
          <cell r="P745">
            <v>0</v>
          </cell>
          <cell r="R745">
            <v>66.3</v>
          </cell>
        </row>
        <row r="746">
          <cell r="C746" t="str">
            <v>Treatment</v>
          </cell>
          <cell r="H746">
            <v>1</v>
          </cell>
          <cell r="I746">
            <v>1</v>
          </cell>
          <cell r="J746">
            <v>1</v>
          </cell>
          <cell r="K746">
            <v>0</v>
          </cell>
          <cell r="M746">
            <v>0</v>
          </cell>
          <cell r="N746">
            <v>0</v>
          </cell>
          <cell r="P746">
            <v>0</v>
          </cell>
          <cell r="R746">
            <v>54.6</v>
          </cell>
        </row>
        <row r="747">
          <cell r="C747" t="str">
            <v>Treatment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M747">
            <v>0</v>
          </cell>
          <cell r="N747">
            <v>0</v>
          </cell>
          <cell r="P747">
            <v>0</v>
          </cell>
          <cell r="R747">
            <v>53.8</v>
          </cell>
        </row>
        <row r="748">
          <cell r="C748" t="str">
            <v>Treatment</v>
          </cell>
          <cell r="H748">
            <v>1</v>
          </cell>
          <cell r="I748">
            <v>0</v>
          </cell>
          <cell r="J748">
            <v>0</v>
          </cell>
          <cell r="K748">
            <v>0</v>
          </cell>
          <cell r="M748">
            <v>0</v>
          </cell>
          <cell r="N748">
            <v>0</v>
          </cell>
          <cell r="P748">
            <v>0</v>
          </cell>
          <cell r="R748">
            <v>59.5</v>
          </cell>
        </row>
        <row r="749">
          <cell r="C749" t="str">
            <v>Treatment</v>
          </cell>
          <cell r="H749">
            <v>1</v>
          </cell>
          <cell r="I749">
            <v>0</v>
          </cell>
          <cell r="J749">
            <v>0</v>
          </cell>
          <cell r="K749">
            <v>0</v>
          </cell>
          <cell r="M749">
            <v>0</v>
          </cell>
          <cell r="N749">
            <v>0</v>
          </cell>
          <cell r="P749">
            <v>0</v>
          </cell>
          <cell r="R749">
            <v>52.6</v>
          </cell>
        </row>
        <row r="750">
          <cell r="C750" t="str">
            <v>Treatment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M750">
            <v>0</v>
          </cell>
          <cell r="N750">
            <v>0</v>
          </cell>
          <cell r="P750">
            <v>0</v>
          </cell>
          <cell r="R750">
            <v>49</v>
          </cell>
        </row>
        <row r="751">
          <cell r="C751" t="str">
            <v>Treatment</v>
          </cell>
          <cell r="H751">
            <v>1</v>
          </cell>
          <cell r="I751">
            <v>0</v>
          </cell>
          <cell r="J751">
            <v>0</v>
          </cell>
          <cell r="K751">
            <v>0</v>
          </cell>
          <cell r="M751">
            <v>0</v>
          </cell>
          <cell r="N751">
            <v>0</v>
          </cell>
          <cell r="P751">
            <v>0</v>
          </cell>
          <cell r="R751">
            <v>59.3</v>
          </cell>
        </row>
        <row r="752">
          <cell r="C752" t="str">
            <v>Treatment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M752">
            <v>0</v>
          </cell>
          <cell r="N752">
            <v>0</v>
          </cell>
          <cell r="P752">
            <v>0</v>
          </cell>
          <cell r="R752">
            <v>67.2</v>
          </cell>
        </row>
        <row r="753">
          <cell r="C753" t="str">
            <v>Treatment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M753">
            <v>0</v>
          </cell>
          <cell r="N753">
            <v>0</v>
          </cell>
          <cell r="P753">
            <v>0</v>
          </cell>
          <cell r="R753">
            <v>73.5</v>
          </cell>
        </row>
        <row r="754">
          <cell r="C754" t="str">
            <v>Treatment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M754">
            <v>0</v>
          </cell>
          <cell r="N754">
            <v>0</v>
          </cell>
          <cell r="P754">
            <v>0</v>
          </cell>
          <cell r="R754">
            <v>61.2</v>
          </cell>
        </row>
        <row r="755">
          <cell r="C755" t="str">
            <v>Treatment</v>
          </cell>
          <cell r="H755">
            <v>1</v>
          </cell>
          <cell r="I755">
            <v>0</v>
          </cell>
          <cell r="J755">
            <v>0</v>
          </cell>
          <cell r="K755">
            <v>0</v>
          </cell>
          <cell r="M755">
            <v>0</v>
          </cell>
          <cell r="N755">
            <v>1</v>
          </cell>
          <cell r="P755">
            <v>0</v>
          </cell>
          <cell r="R755">
            <v>56.4</v>
          </cell>
        </row>
        <row r="756">
          <cell r="C756" t="str">
            <v>Treatment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M756">
            <v>0</v>
          </cell>
          <cell r="N756">
            <v>3</v>
          </cell>
          <cell r="P756">
            <v>0</v>
          </cell>
          <cell r="R756">
            <v>72.599999999999994</v>
          </cell>
        </row>
        <row r="757">
          <cell r="C757" t="str">
            <v>Treatment</v>
          </cell>
          <cell r="H757">
            <v>1</v>
          </cell>
          <cell r="I757">
            <v>0</v>
          </cell>
          <cell r="J757">
            <v>0</v>
          </cell>
          <cell r="K757">
            <v>0</v>
          </cell>
          <cell r="M757">
            <v>0</v>
          </cell>
          <cell r="N757">
            <v>0</v>
          </cell>
          <cell r="P757">
            <v>0</v>
          </cell>
          <cell r="R757">
            <v>61.7</v>
          </cell>
        </row>
        <row r="758">
          <cell r="C758" t="str">
            <v>Treatment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M758">
            <v>0</v>
          </cell>
          <cell r="N758">
            <v>1</v>
          </cell>
          <cell r="P758">
            <v>0</v>
          </cell>
          <cell r="R758">
            <v>66.900000000000006</v>
          </cell>
        </row>
        <row r="759">
          <cell r="C759" t="str">
            <v>Treatment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M759">
            <v>1496.19</v>
          </cell>
          <cell r="N759">
            <v>1</v>
          </cell>
          <cell r="P759">
            <v>0</v>
          </cell>
          <cell r="Q759">
            <v>7</v>
          </cell>
          <cell r="R759">
            <v>64.900000000000006</v>
          </cell>
        </row>
        <row r="760">
          <cell r="C760" t="str">
            <v>Treatment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  <cell r="M760">
            <v>0</v>
          </cell>
          <cell r="N760">
            <v>0</v>
          </cell>
          <cell r="P760">
            <v>0</v>
          </cell>
          <cell r="R760">
            <v>57.5</v>
          </cell>
        </row>
        <row r="761">
          <cell r="C761" t="str">
            <v>Treatment</v>
          </cell>
          <cell r="H761">
            <v>1</v>
          </cell>
          <cell r="I761">
            <v>1</v>
          </cell>
          <cell r="J761">
            <v>1</v>
          </cell>
          <cell r="K761">
            <v>0</v>
          </cell>
          <cell r="M761">
            <v>0</v>
          </cell>
          <cell r="N761">
            <v>0</v>
          </cell>
          <cell r="P761">
            <v>0</v>
          </cell>
          <cell r="R761">
            <v>76.3</v>
          </cell>
        </row>
        <row r="762">
          <cell r="C762" t="str">
            <v>Treatment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M762">
            <v>0</v>
          </cell>
          <cell r="N762">
            <v>0</v>
          </cell>
          <cell r="P762">
            <v>0</v>
          </cell>
          <cell r="R762">
            <v>47.5</v>
          </cell>
        </row>
        <row r="763">
          <cell r="C763" t="str">
            <v>Treatment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M763">
            <v>0</v>
          </cell>
          <cell r="N763">
            <v>0</v>
          </cell>
          <cell r="P763">
            <v>0</v>
          </cell>
        </row>
        <row r="764">
          <cell r="C764" t="str">
            <v>Treatment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M764">
            <v>0</v>
          </cell>
          <cell r="N764">
            <v>2</v>
          </cell>
          <cell r="P764">
            <v>0</v>
          </cell>
          <cell r="R764">
            <v>71.599999999999994</v>
          </cell>
        </row>
        <row r="765">
          <cell r="C765" t="str">
            <v>Treatment</v>
          </cell>
          <cell r="H765">
            <v>1</v>
          </cell>
          <cell r="I765">
            <v>1</v>
          </cell>
          <cell r="J765">
            <v>0</v>
          </cell>
          <cell r="K765">
            <v>0</v>
          </cell>
          <cell r="M765">
            <v>0</v>
          </cell>
          <cell r="N765">
            <v>0</v>
          </cell>
          <cell r="P765">
            <v>0</v>
          </cell>
          <cell r="R765">
            <v>55.8</v>
          </cell>
        </row>
        <row r="766">
          <cell r="C766" t="str">
            <v>Treatment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M766">
            <v>0</v>
          </cell>
          <cell r="N766">
            <v>1</v>
          </cell>
          <cell r="P766">
            <v>0</v>
          </cell>
          <cell r="R766">
            <v>60.1</v>
          </cell>
        </row>
        <row r="767">
          <cell r="C767" t="str">
            <v>Treatment</v>
          </cell>
          <cell r="H767">
            <v>1</v>
          </cell>
          <cell r="I767">
            <v>1</v>
          </cell>
          <cell r="J767">
            <v>1</v>
          </cell>
          <cell r="K767">
            <v>0</v>
          </cell>
          <cell r="M767">
            <v>0</v>
          </cell>
          <cell r="N767">
            <v>1</v>
          </cell>
          <cell r="P767">
            <v>0</v>
          </cell>
          <cell r="R767">
            <v>59.3</v>
          </cell>
        </row>
        <row r="768">
          <cell r="C768" t="str">
            <v>Treatment</v>
          </cell>
          <cell r="H768">
            <v>1</v>
          </cell>
          <cell r="I768">
            <v>1</v>
          </cell>
          <cell r="J768">
            <v>0</v>
          </cell>
          <cell r="K768">
            <v>0</v>
          </cell>
          <cell r="M768">
            <v>0</v>
          </cell>
          <cell r="N768">
            <v>2</v>
          </cell>
          <cell r="P768">
            <v>0</v>
          </cell>
          <cell r="R768">
            <v>49.3</v>
          </cell>
        </row>
        <row r="769">
          <cell r="C769" t="str">
            <v>Treatment</v>
          </cell>
          <cell r="H769">
            <v>1</v>
          </cell>
          <cell r="I769">
            <v>0</v>
          </cell>
          <cell r="J769">
            <v>0</v>
          </cell>
          <cell r="K769">
            <v>0</v>
          </cell>
          <cell r="M769">
            <v>0</v>
          </cell>
          <cell r="N769">
            <v>0</v>
          </cell>
          <cell r="P769">
            <v>0</v>
          </cell>
          <cell r="R769">
            <v>75</v>
          </cell>
        </row>
        <row r="770">
          <cell r="C770" t="str">
            <v>Treatment</v>
          </cell>
          <cell r="H770">
            <v>1</v>
          </cell>
          <cell r="I770">
            <v>0</v>
          </cell>
          <cell r="J770">
            <v>0</v>
          </cell>
          <cell r="K770">
            <v>0</v>
          </cell>
          <cell r="M770">
            <v>0</v>
          </cell>
          <cell r="N770">
            <v>0</v>
          </cell>
          <cell r="P770">
            <v>0</v>
          </cell>
          <cell r="R770">
            <v>70.2</v>
          </cell>
        </row>
        <row r="771">
          <cell r="C771" t="str">
            <v>Treatment</v>
          </cell>
          <cell r="H771">
            <v>1</v>
          </cell>
          <cell r="I771">
            <v>1</v>
          </cell>
          <cell r="J771">
            <v>1</v>
          </cell>
          <cell r="K771">
            <v>0</v>
          </cell>
          <cell r="M771">
            <v>0</v>
          </cell>
          <cell r="N771">
            <v>0</v>
          </cell>
          <cell r="P771">
            <v>0</v>
          </cell>
          <cell r="R771">
            <v>56.6</v>
          </cell>
        </row>
        <row r="772">
          <cell r="C772" t="str">
            <v>Treatment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M772">
            <v>0</v>
          </cell>
          <cell r="N772">
            <v>0</v>
          </cell>
          <cell r="P772">
            <v>0</v>
          </cell>
          <cell r="R772">
            <v>65.400000000000006</v>
          </cell>
        </row>
        <row r="773">
          <cell r="C773" t="str">
            <v>Treatment</v>
          </cell>
          <cell r="H773">
            <v>1</v>
          </cell>
          <cell r="I773">
            <v>0</v>
          </cell>
          <cell r="J773">
            <v>0</v>
          </cell>
          <cell r="K773">
            <v>0</v>
          </cell>
          <cell r="M773">
            <v>0</v>
          </cell>
          <cell r="N773">
            <v>0</v>
          </cell>
          <cell r="P773">
            <v>0</v>
          </cell>
          <cell r="R773">
            <v>47.6</v>
          </cell>
        </row>
        <row r="774">
          <cell r="C774" t="str">
            <v>Treatment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M774">
            <v>0</v>
          </cell>
          <cell r="N774">
            <v>0</v>
          </cell>
          <cell r="P774">
            <v>0</v>
          </cell>
          <cell r="R774">
            <v>56.7</v>
          </cell>
        </row>
        <row r="775">
          <cell r="C775" t="str">
            <v>Treatment</v>
          </cell>
          <cell r="H775">
            <v>1</v>
          </cell>
          <cell r="I775">
            <v>1</v>
          </cell>
          <cell r="J775">
            <v>0</v>
          </cell>
          <cell r="K775">
            <v>0</v>
          </cell>
          <cell r="M775">
            <v>0</v>
          </cell>
          <cell r="N775">
            <v>0</v>
          </cell>
          <cell r="P775">
            <v>0</v>
          </cell>
          <cell r="R775">
            <v>71.400000000000006</v>
          </cell>
        </row>
        <row r="776">
          <cell r="C776" t="str">
            <v>Treatment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M776">
            <v>0</v>
          </cell>
          <cell r="N776">
            <v>2</v>
          </cell>
          <cell r="P776">
            <v>0</v>
          </cell>
          <cell r="R776">
            <v>60.5</v>
          </cell>
        </row>
        <row r="777">
          <cell r="C777" t="str">
            <v>Treatment</v>
          </cell>
          <cell r="H777">
            <v>1</v>
          </cell>
          <cell r="I777">
            <v>0</v>
          </cell>
          <cell r="J777">
            <v>0</v>
          </cell>
          <cell r="K777">
            <v>0</v>
          </cell>
          <cell r="M777">
            <v>0</v>
          </cell>
          <cell r="N777">
            <v>0</v>
          </cell>
          <cell r="P777">
            <v>0</v>
          </cell>
          <cell r="R777">
            <v>46.7</v>
          </cell>
        </row>
        <row r="778">
          <cell r="C778" t="str">
            <v>Treatment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M778">
            <v>0</v>
          </cell>
          <cell r="N778">
            <v>0</v>
          </cell>
          <cell r="P778">
            <v>0</v>
          </cell>
          <cell r="R778">
            <v>61</v>
          </cell>
        </row>
        <row r="779">
          <cell r="C779" t="str">
            <v>Treatment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M779">
            <v>0</v>
          </cell>
          <cell r="N779">
            <v>0</v>
          </cell>
          <cell r="P779">
            <v>0</v>
          </cell>
          <cell r="R779">
            <v>60.9</v>
          </cell>
        </row>
        <row r="780">
          <cell r="C780" t="str">
            <v>Treatment</v>
          </cell>
          <cell r="H780">
            <v>1</v>
          </cell>
          <cell r="I780">
            <v>0</v>
          </cell>
          <cell r="J780">
            <v>0</v>
          </cell>
          <cell r="K780">
            <v>0</v>
          </cell>
          <cell r="M780">
            <v>0</v>
          </cell>
          <cell r="N780">
            <v>0</v>
          </cell>
          <cell r="P780">
            <v>0</v>
          </cell>
          <cell r="R780">
            <v>67.099999999999994</v>
          </cell>
        </row>
        <row r="781">
          <cell r="C781" t="str">
            <v>Treatment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M781">
            <v>0</v>
          </cell>
          <cell r="N781">
            <v>0</v>
          </cell>
          <cell r="P781">
            <v>0</v>
          </cell>
          <cell r="R781">
            <v>59.6</v>
          </cell>
        </row>
        <row r="782">
          <cell r="C782" t="str">
            <v>Treatment</v>
          </cell>
          <cell r="H782">
            <v>1</v>
          </cell>
          <cell r="I782">
            <v>0</v>
          </cell>
          <cell r="J782">
            <v>0</v>
          </cell>
          <cell r="K782">
            <v>0</v>
          </cell>
          <cell r="M782">
            <v>0</v>
          </cell>
          <cell r="N782">
            <v>0</v>
          </cell>
          <cell r="P782">
            <v>0</v>
          </cell>
          <cell r="R782">
            <v>83.8</v>
          </cell>
        </row>
        <row r="783">
          <cell r="C783" t="str">
            <v>Treatment</v>
          </cell>
          <cell r="H783">
            <v>1</v>
          </cell>
          <cell r="I783">
            <v>1</v>
          </cell>
          <cell r="J783">
            <v>1</v>
          </cell>
          <cell r="K783">
            <v>0</v>
          </cell>
          <cell r="M783">
            <v>0</v>
          </cell>
          <cell r="N783">
            <v>0</v>
          </cell>
          <cell r="P783">
            <v>0</v>
          </cell>
          <cell r="R783">
            <v>70.8</v>
          </cell>
        </row>
        <row r="784">
          <cell r="C784" t="str">
            <v>Treatment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M784">
            <v>0</v>
          </cell>
          <cell r="N784">
            <v>0</v>
          </cell>
          <cell r="P784">
            <v>0</v>
          </cell>
          <cell r="R784">
            <v>65.900000000000006</v>
          </cell>
        </row>
        <row r="785">
          <cell r="C785" t="str">
            <v>Treatment</v>
          </cell>
          <cell r="H785">
            <v>1</v>
          </cell>
          <cell r="I785">
            <v>0</v>
          </cell>
          <cell r="J785">
            <v>0</v>
          </cell>
          <cell r="K785">
            <v>0</v>
          </cell>
          <cell r="M785">
            <v>0</v>
          </cell>
          <cell r="N785">
            <v>0</v>
          </cell>
          <cell r="P785">
            <v>0</v>
          </cell>
          <cell r="R785">
            <v>58</v>
          </cell>
        </row>
        <row r="786">
          <cell r="C786" t="str">
            <v>Treatment</v>
          </cell>
          <cell r="H786">
            <v>1</v>
          </cell>
          <cell r="I786">
            <v>1</v>
          </cell>
          <cell r="J786">
            <v>0</v>
          </cell>
          <cell r="K786">
            <v>0</v>
          </cell>
          <cell r="M786">
            <v>0</v>
          </cell>
          <cell r="N786">
            <v>0</v>
          </cell>
          <cell r="P786">
            <v>0</v>
          </cell>
          <cell r="R786">
            <v>80.3</v>
          </cell>
        </row>
        <row r="787">
          <cell r="C787" t="str">
            <v>Treatment</v>
          </cell>
          <cell r="H787">
            <v>1</v>
          </cell>
          <cell r="I787">
            <v>0</v>
          </cell>
          <cell r="J787">
            <v>0</v>
          </cell>
          <cell r="K787">
            <v>0</v>
          </cell>
          <cell r="M787">
            <v>0</v>
          </cell>
          <cell r="N787">
            <v>0</v>
          </cell>
          <cell r="P787">
            <v>0</v>
          </cell>
          <cell r="R787">
            <v>55.7</v>
          </cell>
        </row>
        <row r="788">
          <cell r="C788" t="str">
            <v>Treatment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M788">
            <v>0</v>
          </cell>
          <cell r="N788">
            <v>0</v>
          </cell>
          <cell r="P788">
            <v>0</v>
          </cell>
          <cell r="R788">
            <v>84.9</v>
          </cell>
        </row>
        <row r="789">
          <cell r="C789" t="str">
            <v>Treatment</v>
          </cell>
          <cell r="H789">
            <v>1</v>
          </cell>
          <cell r="I789">
            <v>0</v>
          </cell>
          <cell r="J789">
            <v>0</v>
          </cell>
          <cell r="K789">
            <v>0</v>
          </cell>
          <cell r="M789">
            <v>0</v>
          </cell>
          <cell r="N789">
            <v>0</v>
          </cell>
          <cell r="P789">
            <v>0</v>
          </cell>
          <cell r="R789">
            <v>63.3</v>
          </cell>
        </row>
        <row r="790">
          <cell r="C790" t="str">
            <v>Treatment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M790">
            <v>0</v>
          </cell>
          <cell r="N790">
            <v>0</v>
          </cell>
          <cell r="P790">
            <v>0</v>
          </cell>
          <cell r="R790">
            <v>53.1</v>
          </cell>
        </row>
        <row r="791">
          <cell r="C791" t="str">
            <v>Treatment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M791">
            <v>0</v>
          </cell>
          <cell r="N791">
            <v>0</v>
          </cell>
          <cell r="P791">
            <v>0</v>
          </cell>
          <cell r="R791">
            <v>66</v>
          </cell>
        </row>
        <row r="792">
          <cell r="C792" t="str">
            <v>Treatment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M792">
            <v>0</v>
          </cell>
          <cell r="N792">
            <v>0</v>
          </cell>
          <cell r="P792">
            <v>0</v>
          </cell>
          <cell r="R792">
            <v>54.7</v>
          </cell>
        </row>
        <row r="793">
          <cell r="C793" t="str">
            <v>Treatment</v>
          </cell>
          <cell r="H793">
            <v>1</v>
          </cell>
          <cell r="I793">
            <v>1</v>
          </cell>
          <cell r="J793">
            <v>0</v>
          </cell>
          <cell r="K793">
            <v>0</v>
          </cell>
          <cell r="M793">
            <v>0</v>
          </cell>
          <cell r="N793">
            <v>1</v>
          </cell>
          <cell r="P793">
            <v>0</v>
          </cell>
          <cell r="R793">
            <v>41.2</v>
          </cell>
        </row>
        <row r="794">
          <cell r="C794" t="str">
            <v>Treatment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M794">
            <v>0</v>
          </cell>
          <cell r="N794">
            <v>0</v>
          </cell>
          <cell r="P794">
            <v>0</v>
          </cell>
          <cell r="R794">
            <v>66.7</v>
          </cell>
        </row>
        <row r="795">
          <cell r="C795" t="str">
            <v>Treatment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M795">
            <v>0</v>
          </cell>
          <cell r="N795">
            <v>0</v>
          </cell>
          <cell r="P795">
            <v>0</v>
          </cell>
          <cell r="R795">
            <v>39.4</v>
          </cell>
        </row>
        <row r="796">
          <cell r="C796" t="str">
            <v>Treatment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M796">
            <v>0</v>
          </cell>
          <cell r="N796">
            <v>3</v>
          </cell>
          <cell r="P796">
            <v>0</v>
          </cell>
          <cell r="R796">
            <v>67</v>
          </cell>
        </row>
        <row r="797">
          <cell r="C797" t="str">
            <v>Treatment</v>
          </cell>
          <cell r="H797">
            <v>1</v>
          </cell>
          <cell r="I797">
            <v>0</v>
          </cell>
          <cell r="J797">
            <v>0</v>
          </cell>
          <cell r="K797">
            <v>0</v>
          </cell>
          <cell r="M797">
            <v>0</v>
          </cell>
          <cell r="N797">
            <v>0</v>
          </cell>
          <cell r="P797">
            <v>0</v>
          </cell>
          <cell r="R797">
            <v>50.4</v>
          </cell>
        </row>
        <row r="798">
          <cell r="C798" t="str">
            <v>Treatment</v>
          </cell>
          <cell r="H798">
            <v>1</v>
          </cell>
          <cell r="I798">
            <v>0</v>
          </cell>
          <cell r="J798">
            <v>0</v>
          </cell>
          <cell r="K798">
            <v>0</v>
          </cell>
          <cell r="M798">
            <v>0</v>
          </cell>
          <cell r="N798">
            <v>0</v>
          </cell>
          <cell r="P798">
            <v>0</v>
          </cell>
          <cell r="R798">
            <v>53.8</v>
          </cell>
        </row>
        <row r="799">
          <cell r="C799" t="str">
            <v>Treatment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M799">
            <v>0</v>
          </cell>
          <cell r="N799">
            <v>1</v>
          </cell>
          <cell r="P799">
            <v>0</v>
          </cell>
          <cell r="R799">
            <v>82.7</v>
          </cell>
        </row>
        <row r="800">
          <cell r="C800" t="str">
            <v>Treatment</v>
          </cell>
          <cell r="H800">
            <v>1</v>
          </cell>
          <cell r="I800">
            <v>1</v>
          </cell>
          <cell r="J800">
            <v>1</v>
          </cell>
          <cell r="K800">
            <v>0</v>
          </cell>
          <cell r="M800">
            <v>0</v>
          </cell>
          <cell r="N800">
            <v>0</v>
          </cell>
          <cell r="P800">
            <v>0</v>
          </cell>
          <cell r="R800">
            <v>63.9</v>
          </cell>
        </row>
        <row r="801">
          <cell r="C801" t="str">
            <v>Treatment</v>
          </cell>
          <cell r="H801">
            <v>1</v>
          </cell>
          <cell r="I801">
            <v>0</v>
          </cell>
          <cell r="J801">
            <v>0</v>
          </cell>
          <cell r="K801">
            <v>0</v>
          </cell>
          <cell r="M801">
            <v>0</v>
          </cell>
          <cell r="N801">
            <v>0</v>
          </cell>
          <cell r="P801">
            <v>0</v>
          </cell>
          <cell r="R801">
            <v>61.9</v>
          </cell>
        </row>
        <row r="802">
          <cell r="C802" t="str">
            <v>Treatment</v>
          </cell>
          <cell r="H802">
            <v>1</v>
          </cell>
          <cell r="I802">
            <v>1</v>
          </cell>
          <cell r="J802">
            <v>1</v>
          </cell>
          <cell r="K802">
            <v>0</v>
          </cell>
          <cell r="M802">
            <v>0</v>
          </cell>
          <cell r="N802">
            <v>0</v>
          </cell>
          <cell r="P802">
            <v>0</v>
          </cell>
          <cell r="R802">
            <v>75</v>
          </cell>
        </row>
        <row r="803">
          <cell r="C803" t="str">
            <v>Treatment</v>
          </cell>
          <cell r="H803">
            <v>1</v>
          </cell>
          <cell r="I803">
            <v>1</v>
          </cell>
          <cell r="J803">
            <v>1</v>
          </cell>
          <cell r="K803">
            <v>0</v>
          </cell>
          <cell r="M803">
            <v>0</v>
          </cell>
          <cell r="N803">
            <v>0</v>
          </cell>
          <cell r="P803">
            <v>0</v>
          </cell>
          <cell r="R803">
            <v>43</v>
          </cell>
        </row>
        <row r="804">
          <cell r="C804" t="str">
            <v>Treatment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M804">
            <v>0</v>
          </cell>
          <cell r="N804">
            <v>0</v>
          </cell>
          <cell r="P804">
            <v>0</v>
          </cell>
          <cell r="R804">
            <v>54.3</v>
          </cell>
        </row>
        <row r="805">
          <cell r="C805" t="str">
            <v>Treatment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M805">
            <v>0</v>
          </cell>
          <cell r="N805">
            <v>2</v>
          </cell>
          <cell r="P805">
            <v>0</v>
          </cell>
          <cell r="R805">
            <v>44.3</v>
          </cell>
        </row>
        <row r="806">
          <cell r="C806" t="str">
            <v>Treatment</v>
          </cell>
          <cell r="H806">
            <v>1</v>
          </cell>
          <cell r="I806">
            <v>1</v>
          </cell>
          <cell r="J806">
            <v>1</v>
          </cell>
          <cell r="K806">
            <v>1</v>
          </cell>
          <cell r="M806">
            <v>402.88</v>
          </cell>
          <cell r="N806">
            <v>0</v>
          </cell>
          <cell r="P806">
            <v>0</v>
          </cell>
          <cell r="Q806">
            <v>12</v>
          </cell>
          <cell r="R806">
            <v>76</v>
          </cell>
        </row>
        <row r="807">
          <cell r="C807" t="str">
            <v>Treatment</v>
          </cell>
          <cell r="H807">
            <v>1</v>
          </cell>
          <cell r="I807">
            <v>0</v>
          </cell>
          <cell r="J807">
            <v>0</v>
          </cell>
          <cell r="K807">
            <v>0</v>
          </cell>
          <cell r="M807">
            <v>0</v>
          </cell>
          <cell r="N807">
            <v>2</v>
          </cell>
          <cell r="P807">
            <v>0</v>
          </cell>
          <cell r="R807">
            <v>65.3</v>
          </cell>
        </row>
        <row r="808">
          <cell r="C808" t="str">
            <v>Treatment</v>
          </cell>
          <cell r="H808">
            <v>1</v>
          </cell>
          <cell r="I808">
            <v>0</v>
          </cell>
          <cell r="J808">
            <v>0</v>
          </cell>
          <cell r="K808">
            <v>0</v>
          </cell>
          <cell r="M808">
            <v>0</v>
          </cell>
          <cell r="N808">
            <v>0</v>
          </cell>
          <cell r="P808">
            <v>0</v>
          </cell>
          <cell r="R808">
            <v>71.2</v>
          </cell>
        </row>
        <row r="809">
          <cell r="C809" t="str">
            <v>Treatment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M809">
            <v>0</v>
          </cell>
          <cell r="N809">
            <v>0</v>
          </cell>
          <cell r="P809">
            <v>0</v>
          </cell>
          <cell r="R809">
            <v>77.900000000000006</v>
          </cell>
        </row>
        <row r="810">
          <cell r="C810" t="str">
            <v>Treatment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M810">
            <v>0</v>
          </cell>
          <cell r="N810">
            <v>0</v>
          </cell>
          <cell r="P810">
            <v>0</v>
          </cell>
          <cell r="R810">
            <v>48.6</v>
          </cell>
        </row>
        <row r="811">
          <cell r="C811" t="str">
            <v>Treatment</v>
          </cell>
          <cell r="H811">
            <v>1</v>
          </cell>
          <cell r="I811">
            <v>0</v>
          </cell>
          <cell r="J811">
            <v>0</v>
          </cell>
          <cell r="K811">
            <v>0</v>
          </cell>
          <cell r="M811">
            <v>0</v>
          </cell>
          <cell r="N811">
            <v>0</v>
          </cell>
          <cell r="P811">
            <v>0</v>
          </cell>
          <cell r="R811">
            <v>61.9</v>
          </cell>
        </row>
        <row r="812">
          <cell r="C812" t="str">
            <v>Treatment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M812">
            <v>0</v>
          </cell>
          <cell r="N812">
            <v>1</v>
          </cell>
          <cell r="P812">
            <v>0</v>
          </cell>
          <cell r="R812">
            <v>58.7</v>
          </cell>
        </row>
        <row r="813">
          <cell r="C813" t="str">
            <v>Treatment</v>
          </cell>
          <cell r="H813">
            <v>1</v>
          </cell>
          <cell r="I813">
            <v>0</v>
          </cell>
          <cell r="J813">
            <v>0</v>
          </cell>
          <cell r="K813">
            <v>0</v>
          </cell>
          <cell r="M813">
            <v>0</v>
          </cell>
          <cell r="N813">
            <v>0</v>
          </cell>
          <cell r="P813">
            <v>0</v>
          </cell>
          <cell r="R813">
            <v>69.599999999999994</v>
          </cell>
        </row>
        <row r="814">
          <cell r="C814" t="str">
            <v>Treatment</v>
          </cell>
          <cell r="H814">
            <v>1</v>
          </cell>
          <cell r="I814">
            <v>0</v>
          </cell>
          <cell r="J814">
            <v>0</v>
          </cell>
          <cell r="K814">
            <v>0</v>
          </cell>
          <cell r="M814">
            <v>0</v>
          </cell>
          <cell r="N814">
            <v>0</v>
          </cell>
          <cell r="P814">
            <v>0</v>
          </cell>
          <cell r="R814">
            <v>51.5</v>
          </cell>
        </row>
        <row r="815">
          <cell r="C815" t="str">
            <v>Treatment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M815">
            <v>277.69</v>
          </cell>
          <cell r="N815">
            <v>3</v>
          </cell>
          <cell r="P815">
            <v>0</v>
          </cell>
          <cell r="Q815">
            <v>8</v>
          </cell>
          <cell r="R815">
            <v>46</v>
          </cell>
        </row>
        <row r="816">
          <cell r="C816" t="str">
            <v>Treatment</v>
          </cell>
          <cell r="H816">
            <v>1</v>
          </cell>
          <cell r="I816">
            <v>0</v>
          </cell>
          <cell r="J816">
            <v>0</v>
          </cell>
          <cell r="K816">
            <v>0</v>
          </cell>
          <cell r="M816">
            <v>0</v>
          </cell>
          <cell r="N816">
            <v>0</v>
          </cell>
          <cell r="P816">
            <v>0</v>
          </cell>
          <cell r="R816">
            <v>81.7</v>
          </cell>
        </row>
        <row r="817">
          <cell r="C817" t="str">
            <v>Treatment</v>
          </cell>
          <cell r="H817">
            <v>1</v>
          </cell>
          <cell r="I817">
            <v>0</v>
          </cell>
          <cell r="J817">
            <v>0</v>
          </cell>
          <cell r="K817">
            <v>0</v>
          </cell>
          <cell r="M817">
            <v>0</v>
          </cell>
          <cell r="N817">
            <v>0</v>
          </cell>
          <cell r="P817">
            <v>0</v>
          </cell>
          <cell r="R817">
            <v>48.3</v>
          </cell>
        </row>
        <row r="818">
          <cell r="C818" t="str">
            <v>Treatment</v>
          </cell>
          <cell r="H818">
            <v>1</v>
          </cell>
          <cell r="I818">
            <v>1</v>
          </cell>
          <cell r="J818">
            <v>0</v>
          </cell>
          <cell r="K818">
            <v>0</v>
          </cell>
          <cell r="M818">
            <v>0</v>
          </cell>
          <cell r="N818">
            <v>0</v>
          </cell>
          <cell r="P818">
            <v>0</v>
          </cell>
          <cell r="R818">
            <v>85.6</v>
          </cell>
        </row>
        <row r="819">
          <cell r="C819" t="str">
            <v>Treatment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M819">
            <v>0</v>
          </cell>
          <cell r="N819">
            <v>0</v>
          </cell>
          <cell r="P819">
            <v>0</v>
          </cell>
          <cell r="R819">
            <v>53.8</v>
          </cell>
        </row>
        <row r="820">
          <cell r="C820" t="str">
            <v>Treatment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M820">
            <v>460.83</v>
          </cell>
          <cell r="N820">
            <v>2</v>
          </cell>
          <cell r="P820">
            <v>0</v>
          </cell>
          <cell r="Q820">
            <v>0</v>
          </cell>
          <cell r="R820">
            <v>69.7</v>
          </cell>
        </row>
        <row r="821">
          <cell r="C821" t="str">
            <v>Treatment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M821">
            <v>0</v>
          </cell>
          <cell r="N821">
            <v>0</v>
          </cell>
          <cell r="P821">
            <v>0</v>
          </cell>
          <cell r="R821">
            <v>74.8</v>
          </cell>
        </row>
        <row r="822">
          <cell r="C822" t="str">
            <v>Treatment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M822">
            <v>0</v>
          </cell>
          <cell r="N822">
            <v>0</v>
          </cell>
          <cell r="P822">
            <v>0</v>
          </cell>
          <cell r="R822">
            <v>87.9</v>
          </cell>
        </row>
        <row r="823">
          <cell r="C823" t="str">
            <v>Treatment</v>
          </cell>
          <cell r="H823">
            <v>1</v>
          </cell>
          <cell r="I823">
            <v>0</v>
          </cell>
          <cell r="J823">
            <v>0</v>
          </cell>
          <cell r="K823">
            <v>0</v>
          </cell>
          <cell r="M823">
            <v>0</v>
          </cell>
          <cell r="N823">
            <v>1</v>
          </cell>
          <cell r="P823">
            <v>0</v>
          </cell>
          <cell r="R823">
            <v>49.1</v>
          </cell>
        </row>
        <row r="824">
          <cell r="C824" t="str">
            <v>Treatment</v>
          </cell>
          <cell r="H824">
            <v>1</v>
          </cell>
          <cell r="I824">
            <v>0</v>
          </cell>
          <cell r="J824">
            <v>0</v>
          </cell>
          <cell r="K824">
            <v>0</v>
          </cell>
          <cell r="M824">
            <v>0</v>
          </cell>
          <cell r="N824">
            <v>2</v>
          </cell>
          <cell r="P824">
            <v>0</v>
          </cell>
          <cell r="R824">
            <v>73</v>
          </cell>
        </row>
        <row r="825">
          <cell r="C825" t="str">
            <v>Treatment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M825">
            <v>0</v>
          </cell>
          <cell r="N825">
            <v>0</v>
          </cell>
          <cell r="P825">
            <v>0</v>
          </cell>
          <cell r="R825">
            <v>79.5</v>
          </cell>
        </row>
        <row r="826">
          <cell r="C826" t="str">
            <v>Treatment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M826">
            <v>782.23</v>
          </cell>
          <cell r="N826">
            <v>1</v>
          </cell>
          <cell r="P826">
            <v>0</v>
          </cell>
          <cell r="Q826">
            <v>6</v>
          </cell>
          <cell r="R826">
            <v>93.2</v>
          </cell>
        </row>
        <row r="827">
          <cell r="C827" t="str">
            <v>Treatment</v>
          </cell>
          <cell r="H827">
            <v>1</v>
          </cell>
          <cell r="I827">
            <v>0</v>
          </cell>
          <cell r="J827">
            <v>0</v>
          </cell>
          <cell r="K827">
            <v>0</v>
          </cell>
          <cell r="M827">
            <v>0</v>
          </cell>
          <cell r="N827">
            <v>3</v>
          </cell>
          <cell r="P827">
            <v>0</v>
          </cell>
          <cell r="R827">
            <v>77.5</v>
          </cell>
        </row>
        <row r="828">
          <cell r="C828" t="str">
            <v>Treatment</v>
          </cell>
          <cell r="H828">
            <v>1</v>
          </cell>
          <cell r="I828">
            <v>0</v>
          </cell>
          <cell r="J828">
            <v>0</v>
          </cell>
          <cell r="K828">
            <v>0</v>
          </cell>
          <cell r="M828">
            <v>0</v>
          </cell>
          <cell r="N828">
            <v>0</v>
          </cell>
          <cell r="P828">
            <v>0</v>
          </cell>
          <cell r="R828">
            <v>61</v>
          </cell>
        </row>
        <row r="829">
          <cell r="C829" t="str">
            <v>Treatment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M829">
            <v>0</v>
          </cell>
          <cell r="N829">
            <v>0</v>
          </cell>
          <cell r="P829">
            <v>0</v>
          </cell>
          <cell r="R829">
            <v>64.900000000000006</v>
          </cell>
        </row>
        <row r="830">
          <cell r="C830" t="str">
            <v>Treatment</v>
          </cell>
          <cell r="H830">
            <v>1</v>
          </cell>
          <cell r="I830">
            <v>0</v>
          </cell>
          <cell r="J830">
            <v>0</v>
          </cell>
          <cell r="K830">
            <v>0</v>
          </cell>
          <cell r="M830">
            <v>0</v>
          </cell>
          <cell r="N830">
            <v>0</v>
          </cell>
          <cell r="P830">
            <v>0</v>
          </cell>
          <cell r="R830">
            <v>87.5</v>
          </cell>
        </row>
        <row r="831">
          <cell r="C831" t="str">
            <v>Treatment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M831">
            <v>1171.99</v>
          </cell>
          <cell r="N831">
            <v>0</v>
          </cell>
          <cell r="P831">
            <v>0</v>
          </cell>
          <cell r="Q831">
            <v>5</v>
          </cell>
          <cell r="R831">
            <v>80.599999999999994</v>
          </cell>
        </row>
        <row r="832">
          <cell r="C832" t="str">
            <v>Treatment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M832">
            <v>0</v>
          </cell>
          <cell r="N832">
            <v>0</v>
          </cell>
          <cell r="P832">
            <v>0</v>
          </cell>
          <cell r="R832">
            <v>66.900000000000006</v>
          </cell>
        </row>
        <row r="833">
          <cell r="C833" t="str">
            <v>Treatment</v>
          </cell>
          <cell r="H833">
            <v>1</v>
          </cell>
          <cell r="I833">
            <v>1</v>
          </cell>
          <cell r="J833">
            <v>1</v>
          </cell>
          <cell r="K833">
            <v>0</v>
          </cell>
          <cell r="M833">
            <v>0</v>
          </cell>
          <cell r="N833">
            <v>0</v>
          </cell>
          <cell r="P833">
            <v>0</v>
          </cell>
          <cell r="R833">
            <v>58.8</v>
          </cell>
        </row>
        <row r="834">
          <cell r="C834" t="str">
            <v>Treatment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M834">
            <v>1010.4</v>
          </cell>
          <cell r="N834">
            <v>0</v>
          </cell>
          <cell r="P834">
            <v>0</v>
          </cell>
          <cell r="Q834">
            <v>4</v>
          </cell>
          <cell r="R834">
            <v>42.9</v>
          </cell>
        </row>
        <row r="835">
          <cell r="C835" t="str">
            <v>Treatment</v>
          </cell>
          <cell r="H835">
            <v>1</v>
          </cell>
          <cell r="I835">
            <v>1</v>
          </cell>
          <cell r="J835">
            <v>1</v>
          </cell>
          <cell r="K835">
            <v>0</v>
          </cell>
          <cell r="M835">
            <v>0</v>
          </cell>
          <cell r="N835">
            <v>1</v>
          </cell>
          <cell r="P835">
            <v>0</v>
          </cell>
          <cell r="R835">
            <v>60.2</v>
          </cell>
        </row>
        <row r="836">
          <cell r="C836" t="str">
            <v>Treatment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M836">
            <v>0</v>
          </cell>
          <cell r="N836">
            <v>0</v>
          </cell>
          <cell r="P836">
            <v>0</v>
          </cell>
          <cell r="R836">
            <v>42.7</v>
          </cell>
        </row>
        <row r="837">
          <cell r="C837" t="str">
            <v>Treatment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M837">
            <v>431.27</v>
          </cell>
          <cell r="N837">
            <v>0</v>
          </cell>
          <cell r="P837">
            <v>0</v>
          </cell>
          <cell r="Q837">
            <v>7</v>
          </cell>
          <cell r="R837">
            <v>60.8</v>
          </cell>
        </row>
        <row r="838">
          <cell r="C838" t="str">
            <v>Treatment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M838">
            <v>428.8</v>
          </cell>
          <cell r="N838">
            <v>0</v>
          </cell>
          <cell r="P838">
            <v>0</v>
          </cell>
          <cell r="Q838">
            <v>9</v>
          </cell>
          <cell r="R838">
            <v>79.3</v>
          </cell>
        </row>
        <row r="839">
          <cell r="C839" t="str">
            <v>Treatment</v>
          </cell>
          <cell r="H839">
            <v>1</v>
          </cell>
          <cell r="I839">
            <v>0</v>
          </cell>
          <cell r="J839">
            <v>0</v>
          </cell>
          <cell r="K839">
            <v>0</v>
          </cell>
          <cell r="M839">
            <v>0</v>
          </cell>
          <cell r="N839">
            <v>1</v>
          </cell>
          <cell r="P839">
            <v>0</v>
          </cell>
          <cell r="R839">
            <v>88.6</v>
          </cell>
        </row>
        <row r="840">
          <cell r="C840" t="str">
            <v>Treatment</v>
          </cell>
          <cell r="H840">
            <v>1</v>
          </cell>
          <cell r="I840">
            <v>1</v>
          </cell>
          <cell r="J840">
            <v>1</v>
          </cell>
          <cell r="K840">
            <v>0</v>
          </cell>
          <cell r="M840">
            <v>0</v>
          </cell>
          <cell r="N840">
            <v>0</v>
          </cell>
          <cell r="P840">
            <v>0</v>
          </cell>
          <cell r="R840">
            <v>63.1</v>
          </cell>
        </row>
        <row r="841">
          <cell r="C841" t="str">
            <v>Treatment</v>
          </cell>
          <cell r="H841">
            <v>1</v>
          </cell>
          <cell r="I841">
            <v>0</v>
          </cell>
          <cell r="J841">
            <v>0</v>
          </cell>
          <cell r="K841">
            <v>0</v>
          </cell>
          <cell r="M841">
            <v>0</v>
          </cell>
          <cell r="N841">
            <v>0</v>
          </cell>
          <cell r="P841">
            <v>0</v>
          </cell>
          <cell r="R841">
            <v>39.700000000000003</v>
          </cell>
        </row>
        <row r="842">
          <cell r="C842" t="str">
            <v>Treatment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M842">
            <v>0</v>
          </cell>
          <cell r="N842">
            <v>0</v>
          </cell>
          <cell r="P842">
            <v>0</v>
          </cell>
          <cell r="R842">
            <v>67.2</v>
          </cell>
        </row>
        <row r="843">
          <cell r="C843" t="str">
            <v>Treatment</v>
          </cell>
          <cell r="H843">
            <v>1</v>
          </cell>
          <cell r="I843">
            <v>1</v>
          </cell>
          <cell r="J843">
            <v>1</v>
          </cell>
          <cell r="K843">
            <v>0</v>
          </cell>
          <cell r="M843">
            <v>0</v>
          </cell>
          <cell r="N843">
            <v>0</v>
          </cell>
          <cell r="P843">
            <v>0</v>
          </cell>
          <cell r="R843">
            <v>62.3</v>
          </cell>
        </row>
        <row r="844">
          <cell r="C844" t="str">
            <v>Treatment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  <cell r="M844">
            <v>0</v>
          </cell>
          <cell r="N844">
            <v>0</v>
          </cell>
          <cell r="P844">
            <v>0</v>
          </cell>
        </row>
        <row r="845">
          <cell r="C845" t="str">
            <v>Treatment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M845">
            <v>0</v>
          </cell>
          <cell r="N845">
            <v>0</v>
          </cell>
          <cell r="P845">
            <v>0</v>
          </cell>
          <cell r="R845">
            <v>60.7</v>
          </cell>
        </row>
        <row r="846">
          <cell r="C846" t="str">
            <v>Treatment</v>
          </cell>
          <cell r="H846">
            <v>1</v>
          </cell>
          <cell r="I846">
            <v>0</v>
          </cell>
          <cell r="J846">
            <v>0</v>
          </cell>
          <cell r="K846">
            <v>0</v>
          </cell>
          <cell r="M846">
            <v>0</v>
          </cell>
          <cell r="N846">
            <v>0</v>
          </cell>
          <cell r="P846">
            <v>0</v>
          </cell>
          <cell r="R846">
            <v>61.5</v>
          </cell>
        </row>
        <row r="847">
          <cell r="C847" t="str">
            <v>Treatment</v>
          </cell>
          <cell r="H847">
            <v>1</v>
          </cell>
          <cell r="I847">
            <v>0</v>
          </cell>
          <cell r="J847">
            <v>0</v>
          </cell>
          <cell r="K847">
            <v>0</v>
          </cell>
          <cell r="M847">
            <v>0</v>
          </cell>
          <cell r="N847">
            <v>0</v>
          </cell>
          <cell r="P847">
            <v>0</v>
          </cell>
          <cell r="R847">
            <v>75</v>
          </cell>
        </row>
        <row r="848">
          <cell r="C848" t="str">
            <v>Treatment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M848">
            <v>0</v>
          </cell>
          <cell r="N848">
            <v>0</v>
          </cell>
          <cell r="P848">
            <v>0</v>
          </cell>
          <cell r="R848">
            <v>51.9</v>
          </cell>
        </row>
        <row r="849">
          <cell r="C849" t="str">
            <v>Treatment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M849">
            <v>0</v>
          </cell>
          <cell r="N849">
            <v>0</v>
          </cell>
          <cell r="P849">
            <v>0</v>
          </cell>
          <cell r="R849">
            <v>34.5</v>
          </cell>
        </row>
        <row r="850">
          <cell r="C850" t="str">
            <v>Treatment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M850">
            <v>0</v>
          </cell>
          <cell r="N850">
            <v>0</v>
          </cell>
          <cell r="P850">
            <v>0</v>
          </cell>
          <cell r="R850">
            <v>54.5</v>
          </cell>
        </row>
        <row r="851">
          <cell r="C851" t="str">
            <v>Treatment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M851">
            <v>0</v>
          </cell>
          <cell r="N851">
            <v>0</v>
          </cell>
          <cell r="P851">
            <v>0</v>
          </cell>
          <cell r="R851">
            <v>46</v>
          </cell>
        </row>
        <row r="852">
          <cell r="C852" t="str">
            <v>Treatment</v>
          </cell>
          <cell r="H852">
            <v>1</v>
          </cell>
          <cell r="I852">
            <v>1</v>
          </cell>
          <cell r="J852">
            <v>1</v>
          </cell>
          <cell r="K852">
            <v>0</v>
          </cell>
          <cell r="M852">
            <v>0</v>
          </cell>
          <cell r="N852">
            <v>0</v>
          </cell>
          <cell r="P852">
            <v>0</v>
          </cell>
          <cell r="R852">
            <v>88.4</v>
          </cell>
        </row>
        <row r="853">
          <cell r="C853" t="str">
            <v>Treatment</v>
          </cell>
          <cell r="H853">
            <v>1</v>
          </cell>
          <cell r="I853">
            <v>0</v>
          </cell>
          <cell r="J853">
            <v>0</v>
          </cell>
          <cell r="K853">
            <v>0</v>
          </cell>
          <cell r="M853">
            <v>0</v>
          </cell>
          <cell r="N853">
            <v>0</v>
          </cell>
          <cell r="P853">
            <v>0</v>
          </cell>
          <cell r="R853">
            <v>69.5</v>
          </cell>
        </row>
        <row r="854">
          <cell r="C854" t="str">
            <v>Treatment</v>
          </cell>
          <cell r="H854">
            <v>1</v>
          </cell>
          <cell r="I854">
            <v>1</v>
          </cell>
          <cell r="J854">
            <v>1</v>
          </cell>
          <cell r="K854">
            <v>0</v>
          </cell>
          <cell r="M854">
            <v>0</v>
          </cell>
          <cell r="N854">
            <v>0</v>
          </cell>
          <cell r="P854">
            <v>0</v>
          </cell>
          <cell r="R854">
            <v>74.2</v>
          </cell>
        </row>
        <row r="855">
          <cell r="C855" t="str">
            <v>Treatment</v>
          </cell>
          <cell r="H855">
            <v>1</v>
          </cell>
          <cell r="I855">
            <v>1</v>
          </cell>
          <cell r="J855">
            <v>1</v>
          </cell>
          <cell r="K855">
            <v>0</v>
          </cell>
          <cell r="M855">
            <v>0</v>
          </cell>
          <cell r="N855">
            <v>0</v>
          </cell>
          <cell r="P855">
            <v>0</v>
          </cell>
          <cell r="R855">
            <v>72.099999999999994</v>
          </cell>
        </row>
        <row r="856">
          <cell r="C856" t="str">
            <v>Treatment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M856">
            <v>398.33</v>
          </cell>
          <cell r="N856">
            <v>0</v>
          </cell>
          <cell r="P856">
            <v>0</v>
          </cell>
          <cell r="Q856">
            <v>5</v>
          </cell>
          <cell r="R856">
            <v>85.1</v>
          </cell>
        </row>
        <row r="857">
          <cell r="C857" t="str">
            <v>Treatment</v>
          </cell>
          <cell r="H857">
            <v>1</v>
          </cell>
          <cell r="I857">
            <v>1</v>
          </cell>
          <cell r="J857">
            <v>1</v>
          </cell>
          <cell r="K857">
            <v>0</v>
          </cell>
          <cell r="M857">
            <v>0</v>
          </cell>
          <cell r="N857">
            <v>0</v>
          </cell>
          <cell r="P857">
            <v>0</v>
          </cell>
          <cell r="R857">
            <v>49.5</v>
          </cell>
        </row>
        <row r="858">
          <cell r="C858" t="str">
            <v>Treatment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M858">
            <v>0</v>
          </cell>
          <cell r="N858">
            <v>1</v>
          </cell>
          <cell r="P858">
            <v>0</v>
          </cell>
          <cell r="R858">
            <v>79</v>
          </cell>
        </row>
        <row r="859">
          <cell r="C859" t="str">
            <v>Treatment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M859">
            <v>0</v>
          </cell>
          <cell r="N859">
            <v>0</v>
          </cell>
          <cell r="P859">
            <v>0</v>
          </cell>
          <cell r="R859">
            <v>71.8</v>
          </cell>
        </row>
        <row r="860">
          <cell r="C860" t="str">
            <v>Treatment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M860">
            <v>1117.54</v>
          </cell>
          <cell r="N860">
            <v>0</v>
          </cell>
          <cell r="P860">
            <v>0</v>
          </cell>
          <cell r="Q860">
            <v>6</v>
          </cell>
          <cell r="R860">
            <v>60.4</v>
          </cell>
        </row>
        <row r="861">
          <cell r="C861" t="str">
            <v>Treatment</v>
          </cell>
          <cell r="H861">
            <v>1</v>
          </cell>
          <cell r="I861">
            <v>0</v>
          </cell>
          <cell r="J861">
            <v>0</v>
          </cell>
          <cell r="K861">
            <v>0</v>
          </cell>
          <cell r="M861">
            <v>0</v>
          </cell>
          <cell r="N861">
            <v>2</v>
          </cell>
          <cell r="P861">
            <v>0</v>
          </cell>
          <cell r="R861">
            <v>38.299999999999997</v>
          </cell>
        </row>
        <row r="862">
          <cell r="C862" t="str">
            <v>Treatment</v>
          </cell>
          <cell r="H862">
            <v>1</v>
          </cell>
          <cell r="I862">
            <v>1</v>
          </cell>
          <cell r="J862">
            <v>1</v>
          </cell>
          <cell r="K862">
            <v>0</v>
          </cell>
          <cell r="M862">
            <v>0</v>
          </cell>
          <cell r="N862">
            <v>0</v>
          </cell>
          <cell r="P862">
            <v>0</v>
          </cell>
          <cell r="R862">
            <v>79.599999999999994</v>
          </cell>
        </row>
        <row r="863">
          <cell r="C863" t="str">
            <v>Treatment</v>
          </cell>
          <cell r="H863">
            <v>1</v>
          </cell>
          <cell r="I863">
            <v>1</v>
          </cell>
          <cell r="J863">
            <v>1</v>
          </cell>
          <cell r="K863">
            <v>0</v>
          </cell>
          <cell r="M863">
            <v>0</v>
          </cell>
          <cell r="N863">
            <v>0</v>
          </cell>
          <cell r="P863">
            <v>0</v>
          </cell>
          <cell r="R863">
            <v>71.900000000000006</v>
          </cell>
        </row>
        <row r="864">
          <cell r="C864" t="str">
            <v>Treatment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  <cell r="M864">
            <v>0</v>
          </cell>
          <cell r="N864">
            <v>0</v>
          </cell>
          <cell r="P864">
            <v>0</v>
          </cell>
          <cell r="R864">
            <v>54.6</v>
          </cell>
        </row>
        <row r="865">
          <cell r="C865" t="str">
            <v>Treatment</v>
          </cell>
          <cell r="H865">
            <v>1</v>
          </cell>
          <cell r="I865">
            <v>0</v>
          </cell>
          <cell r="J865">
            <v>0</v>
          </cell>
          <cell r="K865">
            <v>0</v>
          </cell>
          <cell r="M865">
            <v>0</v>
          </cell>
          <cell r="N865">
            <v>3</v>
          </cell>
          <cell r="P865">
            <v>0</v>
          </cell>
          <cell r="R865">
            <v>49.3</v>
          </cell>
        </row>
        <row r="866">
          <cell r="C866" t="str">
            <v>Treatment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M866">
            <v>0</v>
          </cell>
          <cell r="N866">
            <v>1</v>
          </cell>
          <cell r="P866">
            <v>0</v>
          </cell>
          <cell r="R866">
            <v>66.900000000000006</v>
          </cell>
        </row>
        <row r="867">
          <cell r="C867" t="str">
            <v>Treatment</v>
          </cell>
          <cell r="H867">
            <v>1</v>
          </cell>
          <cell r="I867">
            <v>0</v>
          </cell>
          <cell r="J867">
            <v>0</v>
          </cell>
          <cell r="K867">
            <v>0</v>
          </cell>
          <cell r="M867">
            <v>0</v>
          </cell>
          <cell r="N867">
            <v>1</v>
          </cell>
          <cell r="P867">
            <v>0</v>
          </cell>
          <cell r="R867">
            <v>77.8</v>
          </cell>
        </row>
        <row r="868">
          <cell r="C868" t="str">
            <v>Treatment</v>
          </cell>
          <cell r="H868">
            <v>1</v>
          </cell>
          <cell r="I868">
            <v>0</v>
          </cell>
          <cell r="J868">
            <v>0</v>
          </cell>
          <cell r="K868">
            <v>0</v>
          </cell>
          <cell r="M868">
            <v>0</v>
          </cell>
          <cell r="N868">
            <v>0</v>
          </cell>
          <cell r="P868">
            <v>0</v>
          </cell>
          <cell r="R868">
            <v>63</v>
          </cell>
        </row>
        <row r="869">
          <cell r="C869" t="str">
            <v>Treatment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M869">
            <v>0</v>
          </cell>
          <cell r="N869">
            <v>0</v>
          </cell>
          <cell r="P869">
            <v>0</v>
          </cell>
          <cell r="R869">
            <v>79.8</v>
          </cell>
        </row>
        <row r="870">
          <cell r="C870" t="str">
            <v>Treatment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M870">
            <v>0</v>
          </cell>
          <cell r="N870">
            <v>0</v>
          </cell>
          <cell r="P870">
            <v>0</v>
          </cell>
          <cell r="R870">
            <v>69.900000000000006</v>
          </cell>
        </row>
        <row r="871">
          <cell r="C871" t="str">
            <v>Treatment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M871">
            <v>0</v>
          </cell>
          <cell r="N871">
            <v>1</v>
          </cell>
          <cell r="P871">
            <v>0</v>
          </cell>
          <cell r="R871">
            <v>66.400000000000006</v>
          </cell>
        </row>
        <row r="872">
          <cell r="C872" t="str">
            <v>Treatment</v>
          </cell>
          <cell r="H872">
            <v>1</v>
          </cell>
          <cell r="I872">
            <v>0</v>
          </cell>
          <cell r="J872">
            <v>0</v>
          </cell>
          <cell r="K872">
            <v>0</v>
          </cell>
          <cell r="M872">
            <v>0</v>
          </cell>
          <cell r="N872">
            <v>0</v>
          </cell>
          <cell r="P872">
            <v>0</v>
          </cell>
          <cell r="R872">
            <v>27.6</v>
          </cell>
        </row>
        <row r="873">
          <cell r="C873" t="str">
            <v>Treatment</v>
          </cell>
          <cell r="H873">
            <v>1</v>
          </cell>
          <cell r="I873">
            <v>0</v>
          </cell>
          <cell r="J873">
            <v>0</v>
          </cell>
          <cell r="K873">
            <v>0</v>
          </cell>
          <cell r="M873">
            <v>0</v>
          </cell>
          <cell r="N873">
            <v>1</v>
          </cell>
          <cell r="P873">
            <v>0</v>
          </cell>
          <cell r="R873">
            <v>56.5</v>
          </cell>
        </row>
        <row r="874">
          <cell r="C874" t="str">
            <v>Treatment</v>
          </cell>
          <cell r="H874">
            <v>1</v>
          </cell>
          <cell r="I874">
            <v>0</v>
          </cell>
          <cell r="J874">
            <v>0</v>
          </cell>
          <cell r="K874">
            <v>0</v>
          </cell>
          <cell r="M874">
            <v>0</v>
          </cell>
          <cell r="N874">
            <v>0</v>
          </cell>
          <cell r="P874">
            <v>0</v>
          </cell>
          <cell r="R874">
            <v>67.8</v>
          </cell>
        </row>
        <row r="875">
          <cell r="C875" t="str">
            <v>Treatment</v>
          </cell>
          <cell r="H875">
            <v>1</v>
          </cell>
          <cell r="I875">
            <v>0</v>
          </cell>
          <cell r="J875">
            <v>0</v>
          </cell>
          <cell r="K875">
            <v>0</v>
          </cell>
          <cell r="M875">
            <v>0</v>
          </cell>
          <cell r="N875">
            <v>0</v>
          </cell>
          <cell r="P875">
            <v>0</v>
          </cell>
          <cell r="R875">
            <v>80</v>
          </cell>
        </row>
        <row r="876">
          <cell r="C876" t="str">
            <v>Treatment</v>
          </cell>
          <cell r="H876">
            <v>1</v>
          </cell>
          <cell r="I876">
            <v>1</v>
          </cell>
          <cell r="J876">
            <v>1</v>
          </cell>
          <cell r="K876">
            <v>0</v>
          </cell>
          <cell r="M876">
            <v>0</v>
          </cell>
          <cell r="N876">
            <v>1</v>
          </cell>
          <cell r="P876">
            <v>0</v>
          </cell>
          <cell r="R876">
            <v>80.900000000000006</v>
          </cell>
        </row>
        <row r="877">
          <cell r="C877" t="str">
            <v>Treatment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M877">
            <v>0</v>
          </cell>
          <cell r="N877">
            <v>0</v>
          </cell>
          <cell r="P877">
            <v>0</v>
          </cell>
          <cell r="R877">
            <v>34.5</v>
          </cell>
        </row>
        <row r="878">
          <cell r="C878" t="str">
            <v>Treatment</v>
          </cell>
          <cell r="H878">
            <v>1</v>
          </cell>
          <cell r="I878">
            <v>0</v>
          </cell>
          <cell r="J878">
            <v>0</v>
          </cell>
          <cell r="K878">
            <v>0</v>
          </cell>
          <cell r="M878">
            <v>0</v>
          </cell>
          <cell r="N878">
            <v>0</v>
          </cell>
          <cell r="P878">
            <v>0</v>
          </cell>
          <cell r="R878">
            <v>73.5</v>
          </cell>
        </row>
        <row r="879">
          <cell r="C879" t="str">
            <v>Treatment</v>
          </cell>
          <cell r="H879">
            <v>1</v>
          </cell>
          <cell r="I879">
            <v>1</v>
          </cell>
          <cell r="J879">
            <v>0</v>
          </cell>
          <cell r="K879">
            <v>0</v>
          </cell>
          <cell r="M879">
            <v>0</v>
          </cell>
          <cell r="N879">
            <v>0</v>
          </cell>
          <cell r="P879">
            <v>0</v>
          </cell>
          <cell r="R879">
            <v>70</v>
          </cell>
        </row>
        <row r="880">
          <cell r="C880" t="str">
            <v>Treatment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M880">
            <v>0</v>
          </cell>
          <cell r="N880">
            <v>0</v>
          </cell>
          <cell r="P880">
            <v>0</v>
          </cell>
          <cell r="R880">
            <v>86.9</v>
          </cell>
        </row>
        <row r="881">
          <cell r="C881" t="str">
            <v>Treatment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M881">
            <v>0</v>
          </cell>
          <cell r="N881">
            <v>0</v>
          </cell>
          <cell r="P881">
            <v>0</v>
          </cell>
          <cell r="R881">
            <v>66.900000000000006</v>
          </cell>
        </row>
        <row r="882">
          <cell r="C882" t="str">
            <v>Treatment</v>
          </cell>
          <cell r="H882">
            <v>1</v>
          </cell>
          <cell r="I882">
            <v>1</v>
          </cell>
          <cell r="J882">
            <v>1</v>
          </cell>
          <cell r="K882">
            <v>0</v>
          </cell>
          <cell r="M882">
            <v>0</v>
          </cell>
          <cell r="N882">
            <v>0</v>
          </cell>
          <cell r="P882">
            <v>0</v>
          </cell>
          <cell r="R882">
            <v>58.3</v>
          </cell>
        </row>
        <row r="883">
          <cell r="C883" t="str">
            <v>Treatment</v>
          </cell>
          <cell r="H883">
            <v>1</v>
          </cell>
          <cell r="I883">
            <v>0</v>
          </cell>
          <cell r="J883">
            <v>0</v>
          </cell>
          <cell r="K883">
            <v>0</v>
          </cell>
          <cell r="M883">
            <v>0</v>
          </cell>
          <cell r="N883">
            <v>0</v>
          </cell>
          <cell r="P883">
            <v>0</v>
          </cell>
          <cell r="R883">
            <v>45</v>
          </cell>
        </row>
        <row r="884">
          <cell r="C884" t="str">
            <v>Treatment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M884">
            <v>0</v>
          </cell>
          <cell r="N884">
            <v>0</v>
          </cell>
          <cell r="P884">
            <v>0</v>
          </cell>
          <cell r="R884">
            <v>60.8</v>
          </cell>
        </row>
        <row r="885">
          <cell r="C885" t="str">
            <v>Treatment</v>
          </cell>
          <cell r="H885">
            <v>1</v>
          </cell>
          <cell r="I885">
            <v>0</v>
          </cell>
          <cell r="J885">
            <v>0</v>
          </cell>
          <cell r="K885">
            <v>0</v>
          </cell>
          <cell r="M885">
            <v>0</v>
          </cell>
          <cell r="N885">
            <v>4</v>
          </cell>
          <cell r="P885">
            <v>0</v>
          </cell>
          <cell r="R885">
            <v>53.7</v>
          </cell>
        </row>
        <row r="886">
          <cell r="C886" t="str">
            <v>Treatment</v>
          </cell>
          <cell r="H886">
            <v>1</v>
          </cell>
          <cell r="I886">
            <v>1</v>
          </cell>
          <cell r="J886">
            <v>1</v>
          </cell>
          <cell r="K886">
            <v>0</v>
          </cell>
          <cell r="M886">
            <v>0</v>
          </cell>
          <cell r="N886">
            <v>0</v>
          </cell>
          <cell r="P886">
            <v>0</v>
          </cell>
          <cell r="R886">
            <v>48.8</v>
          </cell>
        </row>
        <row r="887">
          <cell r="C887" t="str">
            <v>Treatment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M887">
            <v>0</v>
          </cell>
          <cell r="N887">
            <v>0</v>
          </cell>
          <cell r="P887">
            <v>0</v>
          </cell>
          <cell r="R887">
            <v>52.9</v>
          </cell>
        </row>
        <row r="888">
          <cell r="C888" t="str">
            <v>Treatment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M888">
            <v>0</v>
          </cell>
          <cell r="N888">
            <v>0</v>
          </cell>
          <cell r="P888">
            <v>0</v>
          </cell>
          <cell r="R888">
            <v>42.4</v>
          </cell>
        </row>
        <row r="889">
          <cell r="C889" t="str">
            <v>Treatment</v>
          </cell>
          <cell r="H889">
            <v>1</v>
          </cell>
          <cell r="I889">
            <v>0</v>
          </cell>
          <cell r="J889">
            <v>0</v>
          </cell>
          <cell r="K889">
            <v>0</v>
          </cell>
          <cell r="M889">
            <v>0</v>
          </cell>
          <cell r="N889">
            <v>0</v>
          </cell>
          <cell r="P889">
            <v>0</v>
          </cell>
          <cell r="R889">
            <v>58.7</v>
          </cell>
        </row>
        <row r="890">
          <cell r="C890" t="str">
            <v>Treatment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M890">
            <v>1496.19</v>
          </cell>
          <cell r="N890">
            <v>0</v>
          </cell>
          <cell r="P890">
            <v>0</v>
          </cell>
          <cell r="Q890">
            <v>1</v>
          </cell>
          <cell r="R890">
            <v>67.8</v>
          </cell>
        </row>
        <row r="891">
          <cell r="C891" t="str">
            <v>Treatment</v>
          </cell>
          <cell r="H891">
            <v>1</v>
          </cell>
          <cell r="I891">
            <v>0</v>
          </cell>
          <cell r="J891">
            <v>0</v>
          </cell>
          <cell r="K891">
            <v>0</v>
          </cell>
          <cell r="M891">
            <v>0</v>
          </cell>
          <cell r="N891">
            <v>0</v>
          </cell>
          <cell r="P891">
            <v>0</v>
          </cell>
          <cell r="R891">
            <v>62.6</v>
          </cell>
        </row>
        <row r="892">
          <cell r="C892" t="str">
            <v>Treatment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M892">
            <v>0</v>
          </cell>
          <cell r="N892">
            <v>0</v>
          </cell>
          <cell r="P892">
            <v>0</v>
          </cell>
          <cell r="R892">
            <v>82.4</v>
          </cell>
        </row>
        <row r="893">
          <cell r="C893" t="str">
            <v>Treatment</v>
          </cell>
          <cell r="H893">
            <v>1</v>
          </cell>
          <cell r="I893">
            <v>1</v>
          </cell>
          <cell r="J893">
            <v>1</v>
          </cell>
          <cell r="K893">
            <v>0</v>
          </cell>
          <cell r="M893">
            <v>0</v>
          </cell>
          <cell r="N893">
            <v>0</v>
          </cell>
          <cell r="P893">
            <v>0</v>
          </cell>
          <cell r="R893">
            <v>50.4</v>
          </cell>
        </row>
        <row r="894">
          <cell r="C894" t="str">
            <v>Treatment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M894">
            <v>0</v>
          </cell>
          <cell r="N894">
            <v>0</v>
          </cell>
          <cell r="P894">
            <v>0</v>
          </cell>
          <cell r="R894">
            <v>68.400000000000006</v>
          </cell>
        </row>
        <row r="895">
          <cell r="C895" t="str">
            <v>Treatment</v>
          </cell>
          <cell r="H895">
            <v>1</v>
          </cell>
          <cell r="I895">
            <v>1</v>
          </cell>
          <cell r="J895">
            <v>1</v>
          </cell>
          <cell r="K895">
            <v>0</v>
          </cell>
          <cell r="M895">
            <v>0</v>
          </cell>
          <cell r="N895">
            <v>0</v>
          </cell>
          <cell r="P895">
            <v>0</v>
          </cell>
          <cell r="R895">
            <v>58.8</v>
          </cell>
        </row>
        <row r="896">
          <cell r="C896" t="str">
            <v>Treatment</v>
          </cell>
          <cell r="H896">
            <v>1</v>
          </cell>
          <cell r="I896">
            <v>1</v>
          </cell>
          <cell r="J896">
            <v>0</v>
          </cell>
          <cell r="K896">
            <v>0</v>
          </cell>
          <cell r="M896">
            <v>0</v>
          </cell>
          <cell r="N896">
            <v>2</v>
          </cell>
          <cell r="P896">
            <v>0</v>
          </cell>
          <cell r="R896">
            <v>28.3</v>
          </cell>
        </row>
        <row r="897">
          <cell r="C897" t="str">
            <v>Treatment</v>
          </cell>
          <cell r="H897">
            <v>1</v>
          </cell>
          <cell r="I897">
            <v>1</v>
          </cell>
          <cell r="J897">
            <v>0</v>
          </cell>
          <cell r="K897">
            <v>0</v>
          </cell>
          <cell r="M897">
            <v>0</v>
          </cell>
          <cell r="N897">
            <v>0</v>
          </cell>
          <cell r="P897">
            <v>0</v>
          </cell>
          <cell r="R897">
            <v>44.1</v>
          </cell>
        </row>
        <row r="898">
          <cell r="C898" t="str">
            <v>Treatment</v>
          </cell>
          <cell r="H898">
            <v>1</v>
          </cell>
          <cell r="I898">
            <v>1</v>
          </cell>
          <cell r="J898">
            <v>0</v>
          </cell>
          <cell r="K898">
            <v>0</v>
          </cell>
          <cell r="M898">
            <v>0</v>
          </cell>
          <cell r="N898">
            <v>0</v>
          </cell>
          <cell r="P898">
            <v>0</v>
          </cell>
          <cell r="R898">
            <v>66.7</v>
          </cell>
        </row>
        <row r="899">
          <cell r="C899" t="str">
            <v>Treatment</v>
          </cell>
          <cell r="H899">
            <v>1</v>
          </cell>
          <cell r="I899">
            <v>0</v>
          </cell>
          <cell r="J899">
            <v>0</v>
          </cell>
          <cell r="K899">
            <v>0</v>
          </cell>
          <cell r="M899">
            <v>0</v>
          </cell>
          <cell r="N899">
            <v>0</v>
          </cell>
          <cell r="P899">
            <v>0</v>
          </cell>
          <cell r="R899">
            <v>100</v>
          </cell>
        </row>
        <row r="900">
          <cell r="C900" t="str">
            <v>Treatment</v>
          </cell>
          <cell r="H900">
            <v>1</v>
          </cell>
          <cell r="I900">
            <v>1</v>
          </cell>
          <cell r="J900">
            <v>0</v>
          </cell>
          <cell r="K900">
            <v>0</v>
          </cell>
          <cell r="M900">
            <v>0</v>
          </cell>
          <cell r="N900">
            <v>0</v>
          </cell>
          <cell r="P900">
            <v>0</v>
          </cell>
          <cell r="R900">
            <v>87.5</v>
          </cell>
        </row>
        <row r="901">
          <cell r="C901" t="str">
            <v>Treatment</v>
          </cell>
          <cell r="H901">
            <v>1</v>
          </cell>
          <cell r="I901">
            <v>0</v>
          </cell>
          <cell r="J901">
            <v>0</v>
          </cell>
          <cell r="K901">
            <v>0</v>
          </cell>
          <cell r="M901">
            <v>0</v>
          </cell>
          <cell r="N901">
            <v>2</v>
          </cell>
          <cell r="P901">
            <v>0</v>
          </cell>
          <cell r="R901">
            <v>65.400000000000006</v>
          </cell>
        </row>
        <row r="902">
          <cell r="C902" t="str">
            <v>Treatment</v>
          </cell>
          <cell r="H902">
            <v>1</v>
          </cell>
          <cell r="I902">
            <v>0</v>
          </cell>
          <cell r="J902">
            <v>0</v>
          </cell>
          <cell r="K902">
            <v>0</v>
          </cell>
          <cell r="M902">
            <v>0</v>
          </cell>
          <cell r="N902">
            <v>0</v>
          </cell>
          <cell r="P902">
            <v>0</v>
          </cell>
          <cell r="R902">
            <v>22.9</v>
          </cell>
        </row>
        <row r="903">
          <cell r="C903" t="str">
            <v>Treatment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M903">
            <v>0</v>
          </cell>
          <cell r="N903">
            <v>0</v>
          </cell>
          <cell r="P903">
            <v>0</v>
          </cell>
          <cell r="R903">
            <v>64.599999999999994</v>
          </cell>
        </row>
        <row r="904">
          <cell r="C904" t="str">
            <v>Treatment</v>
          </cell>
          <cell r="H904">
            <v>1</v>
          </cell>
          <cell r="I904">
            <v>0</v>
          </cell>
          <cell r="J904">
            <v>0</v>
          </cell>
          <cell r="K904">
            <v>0</v>
          </cell>
          <cell r="M904">
            <v>0</v>
          </cell>
          <cell r="N904">
            <v>2</v>
          </cell>
          <cell r="P904">
            <v>0</v>
          </cell>
          <cell r="R904">
            <v>54.4</v>
          </cell>
        </row>
        <row r="905">
          <cell r="C905" t="str">
            <v>Treatment</v>
          </cell>
          <cell r="H905">
            <v>1</v>
          </cell>
          <cell r="I905">
            <v>1</v>
          </cell>
          <cell r="J905">
            <v>1</v>
          </cell>
          <cell r="K905">
            <v>0</v>
          </cell>
          <cell r="M905">
            <v>0</v>
          </cell>
          <cell r="N905">
            <v>0</v>
          </cell>
          <cell r="P905">
            <v>0</v>
          </cell>
          <cell r="R905">
            <v>56.8</v>
          </cell>
        </row>
        <row r="906">
          <cell r="C906" t="str">
            <v>Treatment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M906">
            <v>341.38</v>
          </cell>
          <cell r="N906">
            <v>0</v>
          </cell>
          <cell r="P906">
            <v>0</v>
          </cell>
          <cell r="Q906">
            <v>2</v>
          </cell>
          <cell r="R906">
            <v>63.6</v>
          </cell>
        </row>
        <row r="907">
          <cell r="C907" t="str">
            <v>Treatment</v>
          </cell>
          <cell r="H907">
            <v>1</v>
          </cell>
          <cell r="I907">
            <v>0</v>
          </cell>
          <cell r="J907">
            <v>0</v>
          </cell>
          <cell r="K907">
            <v>0</v>
          </cell>
          <cell r="M907">
            <v>0</v>
          </cell>
          <cell r="N907">
            <v>0</v>
          </cell>
          <cell r="P907">
            <v>0</v>
          </cell>
          <cell r="R907">
            <v>58.2</v>
          </cell>
        </row>
        <row r="908">
          <cell r="C908" t="str">
            <v>Treatment</v>
          </cell>
          <cell r="H908">
            <v>1</v>
          </cell>
          <cell r="I908">
            <v>1</v>
          </cell>
          <cell r="J908">
            <v>0</v>
          </cell>
          <cell r="K908">
            <v>0</v>
          </cell>
          <cell r="M908">
            <v>0</v>
          </cell>
          <cell r="N908">
            <v>0</v>
          </cell>
          <cell r="P908">
            <v>0</v>
          </cell>
          <cell r="R908">
            <v>54.6</v>
          </cell>
        </row>
        <row r="909">
          <cell r="C909" t="str">
            <v>Treatment</v>
          </cell>
          <cell r="H909">
            <v>1</v>
          </cell>
          <cell r="I909">
            <v>0</v>
          </cell>
          <cell r="J909">
            <v>0</v>
          </cell>
          <cell r="K909">
            <v>0</v>
          </cell>
          <cell r="M909">
            <v>0</v>
          </cell>
          <cell r="N909">
            <v>0</v>
          </cell>
          <cell r="P909">
            <v>0</v>
          </cell>
          <cell r="R909">
            <v>81.900000000000006</v>
          </cell>
        </row>
        <row r="910">
          <cell r="C910" t="str">
            <v>Treatment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M910">
            <v>0</v>
          </cell>
          <cell r="N910">
            <v>3</v>
          </cell>
          <cell r="P910">
            <v>0</v>
          </cell>
          <cell r="R910">
            <v>53.3</v>
          </cell>
        </row>
        <row r="911">
          <cell r="C911" t="str">
            <v>Treatment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M911">
            <v>0</v>
          </cell>
          <cell r="N911">
            <v>0</v>
          </cell>
          <cell r="P911">
            <v>0</v>
          </cell>
          <cell r="R911">
            <v>54.2</v>
          </cell>
        </row>
        <row r="912">
          <cell r="C912" t="str">
            <v>Treatment</v>
          </cell>
          <cell r="H912">
            <v>1</v>
          </cell>
          <cell r="I912">
            <v>1</v>
          </cell>
          <cell r="J912">
            <v>0</v>
          </cell>
          <cell r="K912">
            <v>0</v>
          </cell>
          <cell r="M912">
            <v>0</v>
          </cell>
          <cell r="N912">
            <v>0</v>
          </cell>
          <cell r="P912">
            <v>0</v>
          </cell>
          <cell r="R912">
            <v>65.599999999999994</v>
          </cell>
        </row>
        <row r="913">
          <cell r="C913" t="str">
            <v>Treatment</v>
          </cell>
          <cell r="H913">
            <v>1</v>
          </cell>
          <cell r="I913">
            <v>0</v>
          </cell>
          <cell r="J913">
            <v>0</v>
          </cell>
          <cell r="K913">
            <v>0</v>
          </cell>
          <cell r="M913">
            <v>0</v>
          </cell>
          <cell r="N913">
            <v>1</v>
          </cell>
          <cell r="P913">
            <v>0</v>
          </cell>
          <cell r="R913">
            <v>56.5</v>
          </cell>
        </row>
        <row r="914">
          <cell r="C914" t="str">
            <v>Treatment</v>
          </cell>
          <cell r="H914">
            <v>1</v>
          </cell>
          <cell r="I914">
            <v>0</v>
          </cell>
          <cell r="J914">
            <v>0</v>
          </cell>
          <cell r="K914">
            <v>0</v>
          </cell>
          <cell r="M914">
            <v>0</v>
          </cell>
          <cell r="N914">
            <v>0</v>
          </cell>
          <cell r="P914">
            <v>0</v>
          </cell>
          <cell r="R914">
            <v>59.7</v>
          </cell>
        </row>
        <row r="915">
          <cell r="C915" t="str">
            <v>Treatment</v>
          </cell>
          <cell r="H915">
            <v>1</v>
          </cell>
          <cell r="I915">
            <v>1</v>
          </cell>
          <cell r="J915">
            <v>1</v>
          </cell>
          <cell r="K915">
            <v>0</v>
          </cell>
          <cell r="M915">
            <v>0</v>
          </cell>
          <cell r="N915">
            <v>0</v>
          </cell>
          <cell r="P915">
            <v>0</v>
          </cell>
          <cell r="R915">
            <v>72.5</v>
          </cell>
        </row>
        <row r="916">
          <cell r="C916" t="str">
            <v>Treatment</v>
          </cell>
          <cell r="H916">
            <v>1</v>
          </cell>
          <cell r="I916">
            <v>0</v>
          </cell>
          <cell r="J916">
            <v>0</v>
          </cell>
          <cell r="K916">
            <v>0</v>
          </cell>
          <cell r="M916">
            <v>0</v>
          </cell>
          <cell r="N916">
            <v>0</v>
          </cell>
          <cell r="P916">
            <v>0</v>
          </cell>
          <cell r="R916">
            <v>64.3</v>
          </cell>
        </row>
        <row r="917">
          <cell r="C917" t="str">
            <v>Treatment</v>
          </cell>
          <cell r="H917">
            <v>1</v>
          </cell>
          <cell r="I917">
            <v>0</v>
          </cell>
          <cell r="J917">
            <v>0</v>
          </cell>
          <cell r="K917">
            <v>0</v>
          </cell>
          <cell r="M917">
            <v>0</v>
          </cell>
          <cell r="N917">
            <v>0</v>
          </cell>
          <cell r="P917">
            <v>0</v>
          </cell>
          <cell r="R917">
            <v>64.5</v>
          </cell>
        </row>
        <row r="918">
          <cell r="C918" t="str">
            <v>Treatment</v>
          </cell>
          <cell r="H918">
            <v>1</v>
          </cell>
          <cell r="I918">
            <v>1</v>
          </cell>
          <cell r="J918">
            <v>1</v>
          </cell>
          <cell r="K918">
            <v>0</v>
          </cell>
          <cell r="M918">
            <v>0</v>
          </cell>
          <cell r="N918">
            <v>0</v>
          </cell>
          <cell r="P918">
            <v>0</v>
          </cell>
          <cell r="R918">
            <v>70.599999999999994</v>
          </cell>
        </row>
        <row r="919">
          <cell r="C919" t="str">
            <v>Treatment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M919">
            <v>0</v>
          </cell>
          <cell r="N919">
            <v>0</v>
          </cell>
          <cell r="P919">
            <v>0</v>
          </cell>
          <cell r="R919">
            <v>58.4</v>
          </cell>
        </row>
        <row r="920">
          <cell r="C920" t="str">
            <v>Treatment</v>
          </cell>
          <cell r="H920">
            <v>1</v>
          </cell>
          <cell r="I920">
            <v>0</v>
          </cell>
          <cell r="J920">
            <v>0</v>
          </cell>
          <cell r="K920">
            <v>0</v>
          </cell>
          <cell r="M920">
            <v>0</v>
          </cell>
          <cell r="N920">
            <v>0</v>
          </cell>
          <cell r="P920">
            <v>0</v>
          </cell>
          <cell r="R920">
            <v>56.6</v>
          </cell>
        </row>
        <row r="921">
          <cell r="C921" t="str">
            <v>Treatment</v>
          </cell>
          <cell r="H921">
            <v>1</v>
          </cell>
          <cell r="I921">
            <v>0</v>
          </cell>
          <cell r="J921">
            <v>0</v>
          </cell>
          <cell r="K921">
            <v>0</v>
          </cell>
          <cell r="M921">
            <v>0</v>
          </cell>
          <cell r="N921">
            <v>0</v>
          </cell>
          <cell r="P921">
            <v>0</v>
          </cell>
          <cell r="R921">
            <v>61.8</v>
          </cell>
        </row>
        <row r="922">
          <cell r="C922" t="str">
            <v>Treatment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M922">
            <v>513.52</v>
          </cell>
          <cell r="N922">
            <v>0</v>
          </cell>
          <cell r="P922">
            <v>0</v>
          </cell>
          <cell r="Q922">
            <v>8</v>
          </cell>
          <cell r="R922">
            <v>43.4</v>
          </cell>
        </row>
        <row r="923">
          <cell r="C923" t="str">
            <v>Treatment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M923">
            <v>0</v>
          </cell>
          <cell r="N923">
            <v>0</v>
          </cell>
          <cell r="P923">
            <v>0</v>
          </cell>
          <cell r="R923">
            <v>43</v>
          </cell>
        </row>
        <row r="924">
          <cell r="C924" t="str">
            <v>Treatment</v>
          </cell>
          <cell r="H924">
            <v>1</v>
          </cell>
          <cell r="I924">
            <v>1</v>
          </cell>
          <cell r="J924">
            <v>1</v>
          </cell>
          <cell r="K924">
            <v>0</v>
          </cell>
          <cell r="M924">
            <v>0</v>
          </cell>
          <cell r="N924">
            <v>0</v>
          </cell>
          <cell r="P924">
            <v>0</v>
          </cell>
          <cell r="R924">
            <v>51.1</v>
          </cell>
        </row>
        <row r="925">
          <cell r="C925" t="str">
            <v>Treatment</v>
          </cell>
          <cell r="H925">
            <v>1</v>
          </cell>
          <cell r="I925">
            <v>0</v>
          </cell>
          <cell r="J925">
            <v>0</v>
          </cell>
          <cell r="K925">
            <v>0</v>
          </cell>
          <cell r="M925">
            <v>0</v>
          </cell>
          <cell r="N925">
            <v>0</v>
          </cell>
          <cell r="P925">
            <v>0</v>
          </cell>
          <cell r="R925">
            <v>48.8</v>
          </cell>
        </row>
        <row r="926">
          <cell r="C926" t="str">
            <v>Treatment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M926">
            <v>0</v>
          </cell>
          <cell r="N926">
            <v>0</v>
          </cell>
          <cell r="P926">
            <v>0</v>
          </cell>
          <cell r="R926">
            <v>73.2</v>
          </cell>
        </row>
        <row r="927">
          <cell r="C927" t="str">
            <v>Treatment</v>
          </cell>
          <cell r="H927">
            <v>1</v>
          </cell>
          <cell r="I927">
            <v>1</v>
          </cell>
          <cell r="J927">
            <v>1</v>
          </cell>
          <cell r="K927">
            <v>0</v>
          </cell>
          <cell r="M927">
            <v>0</v>
          </cell>
          <cell r="N927">
            <v>0</v>
          </cell>
          <cell r="P927">
            <v>0</v>
          </cell>
          <cell r="R927">
            <v>80</v>
          </cell>
        </row>
        <row r="928">
          <cell r="C928" t="str">
            <v>Treatment</v>
          </cell>
          <cell r="H928">
            <v>1</v>
          </cell>
          <cell r="I928">
            <v>0</v>
          </cell>
          <cell r="J928">
            <v>0</v>
          </cell>
          <cell r="K928">
            <v>0</v>
          </cell>
          <cell r="M928">
            <v>0</v>
          </cell>
          <cell r="N928">
            <v>0</v>
          </cell>
          <cell r="P928">
            <v>0</v>
          </cell>
          <cell r="R928">
            <v>52.3</v>
          </cell>
        </row>
        <row r="929">
          <cell r="C929" t="str">
            <v>Treatment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M929">
            <v>0</v>
          </cell>
          <cell r="N929">
            <v>0</v>
          </cell>
          <cell r="P929">
            <v>0</v>
          </cell>
          <cell r="R929">
            <v>49.1</v>
          </cell>
        </row>
        <row r="930">
          <cell r="C930" t="str">
            <v>Treatment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M930">
            <v>0</v>
          </cell>
          <cell r="N930">
            <v>0</v>
          </cell>
          <cell r="P930">
            <v>0</v>
          </cell>
          <cell r="R930">
            <v>45.3</v>
          </cell>
        </row>
        <row r="931">
          <cell r="C931" t="str">
            <v>Treatment</v>
          </cell>
          <cell r="H931">
            <v>1</v>
          </cell>
          <cell r="I931">
            <v>1</v>
          </cell>
          <cell r="J931">
            <v>0</v>
          </cell>
          <cell r="K931">
            <v>0</v>
          </cell>
          <cell r="M931">
            <v>0</v>
          </cell>
          <cell r="N931">
            <v>0</v>
          </cell>
          <cell r="P931">
            <v>0</v>
          </cell>
          <cell r="R931">
            <v>49.1</v>
          </cell>
        </row>
        <row r="932">
          <cell r="C932" t="str">
            <v>Treatment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M932">
            <v>476.44</v>
          </cell>
          <cell r="N932">
            <v>0</v>
          </cell>
          <cell r="P932">
            <v>0</v>
          </cell>
          <cell r="Q932">
            <v>3</v>
          </cell>
          <cell r="R932">
            <v>88.6</v>
          </cell>
        </row>
        <row r="933">
          <cell r="C933" t="str">
            <v>Treatment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M933">
            <v>0</v>
          </cell>
          <cell r="N933">
            <v>1</v>
          </cell>
          <cell r="P933">
            <v>0</v>
          </cell>
          <cell r="R933">
            <v>54.4</v>
          </cell>
        </row>
        <row r="934">
          <cell r="C934" t="str">
            <v>Treatment</v>
          </cell>
          <cell r="H934">
            <v>1</v>
          </cell>
          <cell r="I934">
            <v>0</v>
          </cell>
          <cell r="J934">
            <v>0</v>
          </cell>
          <cell r="K934">
            <v>0</v>
          </cell>
          <cell r="M934">
            <v>0</v>
          </cell>
          <cell r="N934">
            <v>0</v>
          </cell>
          <cell r="P934">
            <v>0</v>
          </cell>
          <cell r="R934">
            <v>72.900000000000006</v>
          </cell>
        </row>
        <row r="935">
          <cell r="C935" t="str">
            <v>Treatment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M935">
            <v>0</v>
          </cell>
          <cell r="N935">
            <v>0</v>
          </cell>
          <cell r="P935">
            <v>0</v>
          </cell>
          <cell r="R935">
            <v>53.2</v>
          </cell>
        </row>
        <row r="936">
          <cell r="C936" t="str">
            <v>Treatment</v>
          </cell>
          <cell r="H936">
            <v>1</v>
          </cell>
          <cell r="I936">
            <v>1</v>
          </cell>
          <cell r="J936">
            <v>0</v>
          </cell>
          <cell r="K936">
            <v>0</v>
          </cell>
          <cell r="M936">
            <v>0</v>
          </cell>
          <cell r="N936">
            <v>0</v>
          </cell>
          <cell r="P936">
            <v>0</v>
          </cell>
          <cell r="R936">
            <v>48.7</v>
          </cell>
        </row>
        <row r="937">
          <cell r="C937" t="str">
            <v>Treatment</v>
          </cell>
          <cell r="H937">
            <v>1</v>
          </cell>
          <cell r="I937">
            <v>1</v>
          </cell>
          <cell r="J937">
            <v>1</v>
          </cell>
          <cell r="K937">
            <v>0</v>
          </cell>
          <cell r="M937">
            <v>0</v>
          </cell>
          <cell r="N937">
            <v>0</v>
          </cell>
          <cell r="P937">
            <v>0</v>
          </cell>
          <cell r="R937">
            <v>59.9</v>
          </cell>
        </row>
        <row r="938">
          <cell r="C938" t="str">
            <v>Treatment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M938">
            <v>0</v>
          </cell>
          <cell r="N938">
            <v>0</v>
          </cell>
          <cell r="P938">
            <v>0</v>
          </cell>
          <cell r="R938">
            <v>82</v>
          </cell>
        </row>
        <row r="939">
          <cell r="C939" t="str">
            <v>Treatment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M939">
            <v>0</v>
          </cell>
          <cell r="N939">
            <v>0</v>
          </cell>
          <cell r="P939">
            <v>0</v>
          </cell>
          <cell r="R939">
            <v>72.099999999999994</v>
          </cell>
        </row>
        <row r="940">
          <cell r="C940" t="str">
            <v>Treatment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M940">
            <v>0</v>
          </cell>
          <cell r="N940">
            <v>0</v>
          </cell>
          <cell r="P940">
            <v>0</v>
          </cell>
          <cell r="R940">
            <v>68.3</v>
          </cell>
        </row>
        <row r="941">
          <cell r="C941" t="str">
            <v>Treatment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M941">
            <v>0</v>
          </cell>
          <cell r="N941">
            <v>0</v>
          </cell>
          <cell r="P941">
            <v>0</v>
          </cell>
          <cell r="R941">
            <v>100</v>
          </cell>
        </row>
        <row r="942">
          <cell r="C942" t="str">
            <v>Treatment</v>
          </cell>
          <cell r="H942">
            <v>1</v>
          </cell>
          <cell r="I942">
            <v>1</v>
          </cell>
          <cell r="J942">
            <v>1</v>
          </cell>
          <cell r="K942">
            <v>0</v>
          </cell>
          <cell r="M942">
            <v>0</v>
          </cell>
          <cell r="N942">
            <v>2</v>
          </cell>
          <cell r="P942">
            <v>0</v>
          </cell>
          <cell r="R942">
            <v>76.5</v>
          </cell>
        </row>
        <row r="943">
          <cell r="C943" t="str">
            <v>Treatment</v>
          </cell>
          <cell r="H943">
            <v>1</v>
          </cell>
          <cell r="I943">
            <v>1</v>
          </cell>
          <cell r="J943">
            <v>0</v>
          </cell>
          <cell r="K943">
            <v>0</v>
          </cell>
          <cell r="M943">
            <v>0</v>
          </cell>
          <cell r="N943">
            <v>0</v>
          </cell>
          <cell r="P943">
            <v>0</v>
          </cell>
          <cell r="R943">
            <v>62</v>
          </cell>
        </row>
        <row r="944">
          <cell r="C944" t="str">
            <v>Treatment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M944">
            <v>324.68</v>
          </cell>
          <cell r="N944">
            <v>1</v>
          </cell>
          <cell r="P944">
            <v>0</v>
          </cell>
          <cell r="Q944">
            <v>7</v>
          </cell>
          <cell r="R944">
            <v>50.1</v>
          </cell>
        </row>
        <row r="945">
          <cell r="C945" t="str">
            <v>Treatment</v>
          </cell>
          <cell r="H945">
            <v>1</v>
          </cell>
          <cell r="I945">
            <v>0</v>
          </cell>
          <cell r="J945">
            <v>0</v>
          </cell>
          <cell r="K945">
            <v>0</v>
          </cell>
          <cell r="M945">
            <v>0</v>
          </cell>
          <cell r="N945">
            <v>0</v>
          </cell>
          <cell r="P945">
            <v>0</v>
          </cell>
          <cell r="R945">
            <v>62.1</v>
          </cell>
        </row>
        <row r="946">
          <cell r="C946" t="str">
            <v>Treatment</v>
          </cell>
          <cell r="H946">
            <v>1</v>
          </cell>
          <cell r="I946">
            <v>0</v>
          </cell>
          <cell r="J946">
            <v>0</v>
          </cell>
          <cell r="K946">
            <v>0</v>
          </cell>
          <cell r="M946">
            <v>0</v>
          </cell>
          <cell r="N946">
            <v>0</v>
          </cell>
          <cell r="P946">
            <v>0</v>
          </cell>
          <cell r="R946">
            <v>49.7</v>
          </cell>
        </row>
        <row r="947">
          <cell r="C947" t="str">
            <v>Treatment</v>
          </cell>
          <cell r="H947">
            <v>1</v>
          </cell>
          <cell r="I947">
            <v>0</v>
          </cell>
          <cell r="J947">
            <v>0</v>
          </cell>
          <cell r="K947">
            <v>0</v>
          </cell>
          <cell r="M947">
            <v>0</v>
          </cell>
          <cell r="N947">
            <v>3</v>
          </cell>
          <cell r="P947">
            <v>0</v>
          </cell>
          <cell r="R947">
            <v>71.099999999999994</v>
          </cell>
        </row>
        <row r="948">
          <cell r="C948" t="str">
            <v>Treatment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M948">
            <v>0</v>
          </cell>
          <cell r="N948">
            <v>0</v>
          </cell>
          <cell r="P948">
            <v>0</v>
          </cell>
          <cell r="R948">
            <v>70.8</v>
          </cell>
        </row>
        <row r="949">
          <cell r="C949" t="str">
            <v>Treatment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M949">
            <v>301.98</v>
          </cell>
          <cell r="N949">
            <v>0</v>
          </cell>
          <cell r="P949">
            <v>0</v>
          </cell>
          <cell r="Q949">
            <v>10</v>
          </cell>
          <cell r="R949">
            <v>52.2</v>
          </cell>
        </row>
        <row r="950">
          <cell r="C950" t="str">
            <v>Treatment</v>
          </cell>
          <cell r="H950">
            <v>1</v>
          </cell>
          <cell r="I950">
            <v>1</v>
          </cell>
          <cell r="J950">
            <v>1</v>
          </cell>
          <cell r="K950">
            <v>0</v>
          </cell>
          <cell r="M950">
            <v>0</v>
          </cell>
          <cell r="N950">
            <v>0</v>
          </cell>
          <cell r="P950">
            <v>0</v>
          </cell>
          <cell r="R950">
            <v>73</v>
          </cell>
        </row>
        <row r="951">
          <cell r="C951" t="str">
            <v>Treatment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M951">
            <v>0</v>
          </cell>
          <cell r="N951">
            <v>0</v>
          </cell>
          <cell r="P951">
            <v>0</v>
          </cell>
          <cell r="R951">
            <v>78.2</v>
          </cell>
        </row>
        <row r="952">
          <cell r="C952" t="str">
            <v>Treatment</v>
          </cell>
          <cell r="H952">
            <v>1</v>
          </cell>
          <cell r="I952">
            <v>0</v>
          </cell>
          <cell r="J952">
            <v>0</v>
          </cell>
          <cell r="K952">
            <v>0</v>
          </cell>
          <cell r="M952">
            <v>0</v>
          </cell>
          <cell r="N952">
            <v>0</v>
          </cell>
          <cell r="P952">
            <v>0</v>
          </cell>
          <cell r="R952">
            <v>68.8</v>
          </cell>
        </row>
        <row r="953">
          <cell r="C953" t="str">
            <v>Treatment</v>
          </cell>
          <cell r="H953">
            <v>1</v>
          </cell>
          <cell r="I953">
            <v>0</v>
          </cell>
          <cell r="J953">
            <v>0</v>
          </cell>
          <cell r="K953">
            <v>0</v>
          </cell>
          <cell r="M953">
            <v>0</v>
          </cell>
          <cell r="N953">
            <v>0</v>
          </cell>
          <cell r="P953">
            <v>0</v>
          </cell>
          <cell r="R953">
            <v>57.1</v>
          </cell>
        </row>
        <row r="954">
          <cell r="C954" t="str">
            <v>Treatment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M954">
            <v>0</v>
          </cell>
          <cell r="N954">
            <v>1</v>
          </cell>
          <cell r="P954">
            <v>0</v>
          </cell>
          <cell r="R954">
            <v>74.599999999999994</v>
          </cell>
        </row>
        <row r="955">
          <cell r="C955" t="str">
            <v>Treatment</v>
          </cell>
          <cell r="H955">
            <v>1</v>
          </cell>
          <cell r="I955">
            <v>0</v>
          </cell>
          <cell r="J955">
            <v>0</v>
          </cell>
          <cell r="K955">
            <v>0</v>
          </cell>
          <cell r="M955">
            <v>0</v>
          </cell>
          <cell r="N955">
            <v>1</v>
          </cell>
          <cell r="P955">
            <v>0</v>
          </cell>
          <cell r="R955">
            <v>64.099999999999994</v>
          </cell>
        </row>
        <row r="956">
          <cell r="C956" t="str">
            <v>Treatment</v>
          </cell>
          <cell r="H956">
            <v>1</v>
          </cell>
          <cell r="I956">
            <v>0</v>
          </cell>
          <cell r="J956">
            <v>0</v>
          </cell>
          <cell r="K956">
            <v>0</v>
          </cell>
          <cell r="M956">
            <v>0</v>
          </cell>
          <cell r="N956">
            <v>0</v>
          </cell>
          <cell r="P956">
            <v>0</v>
          </cell>
          <cell r="R956">
            <v>67.3</v>
          </cell>
        </row>
        <row r="957">
          <cell r="C957" t="str">
            <v>Treatment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M957">
            <v>0</v>
          </cell>
          <cell r="N957">
            <v>2</v>
          </cell>
          <cell r="P957">
            <v>0</v>
          </cell>
          <cell r="R957">
            <v>41</v>
          </cell>
        </row>
        <row r="958">
          <cell r="C958" t="str">
            <v>Treatment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M958">
            <v>0</v>
          </cell>
          <cell r="N958">
            <v>0</v>
          </cell>
          <cell r="P958">
            <v>0</v>
          </cell>
          <cell r="R958">
            <v>48.1</v>
          </cell>
        </row>
        <row r="959">
          <cell r="C959" t="str">
            <v>Treatment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M959">
            <v>0</v>
          </cell>
          <cell r="N959">
            <v>1</v>
          </cell>
          <cell r="P959">
            <v>0</v>
          </cell>
          <cell r="R959">
            <v>60.8</v>
          </cell>
        </row>
        <row r="960">
          <cell r="C960" t="str">
            <v>Treatment</v>
          </cell>
          <cell r="H960">
            <v>1</v>
          </cell>
          <cell r="I960">
            <v>0</v>
          </cell>
          <cell r="J960">
            <v>0</v>
          </cell>
          <cell r="K960">
            <v>0</v>
          </cell>
          <cell r="M960">
            <v>0</v>
          </cell>
          <cell r="N960">
            <v>0</v>
          </cell>
          <cell r="P960">
            <v>0</v>
          </cell>
          <cell r="R960">
            <v>63.1</v>
          </cell>
        </row>
        <row r="961">
          <cell r="C961" t="str">
            <v>Treatment</v>
          </cell>
          <cell r="H961">
            <v>1</v>
          </cell>
          <cell r="I961">
            <v>0</v>
          </cell>
          <cell r="J961">
            <v>0</v>
          </cell>
          <cell r="K961">
            <v>0</v>
          </cell>
          <cell r="M961">
            <v>0</v>
          </cell>
          <cell r="N961">
            <v>2</v>
          </cell>
          <cell r="P961">
            <v>0</v>
          </cell>
          <cell r="R961">
            <v>49.7</v>
          </cell>
        </row>
        <row r="962">
          <cell r="C962" t="str">
            <v>Treatment</v>
          </cell>
          <cell r="H962">
            <v>1</v>
          </cell>
          <cell r="I962">
            <v>1</v>
          </cell>
          <cell r="J962">
            <v>1</v>
          </cell>
          <cell r="K962">
            <v>0</v>
          </cell>
          <cell r="M962">
            <v>0</v>
          </cell>
          <cell r="N962">
            <v>1</v>
          </cell>
          <cell r="P962">
            <v>0</v>
          </cell>
          <cell r="R962">
            <v>83.4</v>
          </cell>
        </row>
        <row r="963">
          <cell r="C963" t="str">
            <v>Treatment</v>
          </cell>
          <cell r="H963">
            <v>1</v>
          </cell>
          <cell r="I963">
            <v>0</v>
          </cell>
          <cell r="J963">
            <v>0</v>
          </cell>
          <cell r="K963">
            <v>0</v>
          </cell>
          <cell r="M963">
            <v>0</v>
          </cell>
          <cell r="N963">
            <v>0</v>
          </cell>
          <cell r="P963">
            <v>0</v>
          </cell>
          <cell r="R963">
            <v>75.900000000000006</v>
          </cell>
        </row>
        <row r="964">
          <cell r="C964" t="str">
            <v>Treatment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M964">
            <v>0</v>
          </cell>
          <cell r="N964">
            <v>1</v>
          </cell>
          <cell r="P964">
            <v>0</v>
          </cell>
          <cell r="R964">
            <v>71.8</v>
          </cell>
        </row>
        <row r="965">
          <cell r="C965" t="str">
            <v>Treatment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M965">
            <v>0</v>
          </cell>
          <cell r="N965">
            <v>0</v>
          </cell>
          <cell r="P965">
            <v>0</v>
          </cell>
          <cell r="R965">
            <v>37.9</v>
          </cell>
        </row>
        <row r="966">
          <cell r="C966" t="str">
            <v>Treatment</v>
          </cell>
          <cell r="H966">
            <v>1</v>
          </cell>
          <cell r="I966">
            <v>0</v>
          </cell>
          <cell r="J966">
            <v>0</v>
          </cell>
          <cell r="K966">
            <v>0</v>
          </cell>
          <cell r="M966">
            <v>0</v>
          </cell>
          <cell r="N966">
            <v>0</v>
          </cell>
          <cell r="P966">
            <v>0</v>
          </cell>
          <cell r="R966">
            <v>59.8</v>
          </cell>
        </row>
        <row r="967">
          <cell r="C967" t="str">
            <v>Treatment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M967">
            <v>0</v>
          </cell>
          <cell r="N967">
            <v>0</v>
          </cell>
          <cell r="P967">
            <v>0</v>
          </cell>
          <cell r="R967">
            <v>66.900000000000006</v>
          </cell>
        </row>
        <row r="968">
          <cell r="C968" t="str">
            <v>Treatment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M968">
            <v>0</v>
          </cell>
          <cell r="N968">
            <v>0</v>
          </cell>
          <cell r="P968">
            <v>0</v>
          </cell>
          <cell r="R968">
            <v>59</v>
          </cell>
        </row>
        <row r="969">
          <cell r="C969" t="str">
            <v>Treatment</v>
          </cell>
          <cell r="H969">
            <v>1</v>
          </cell>
          <cell r="I969">
            <v>0</v>
          </cell>
          <cell r="J969">
            <v>0</v>
          </cell>
          <cell r="K969">
            <v>0</v>
          </cell>
          <cell r="M969">
            <v>0</v>
          </cell>
          <cell r="N969">
            <v>0</v>
          </cell>
          <cell r="P969">
            <v>0</v>
          </cell>
          <cell r="R969">
            <v>80.099999999999994</v>
          </cell>
        </row>
        <row r="970">
          <cell r="C970" t="str">
            <v>Treatment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M970">
            <v>0</v>
          </cell>
          <cell r="N970">
            <v>0</v>
          </cell>
          <cell r="P970">
            <v>0</v>
          </cell>
          <cell r="R970">
            <v>64.3</v>
          </cell>
        </row>
        <row r="971">
          <cell r="C971" t="str">
            <v>Treatment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M971">
            <v>0</v>
          </cell>
          <cell r="N971">
            <v>1</v>
          </cell>
          <cell r="P971">
            <v>0</v>
          </cell>
          <cell r="R971">
            <v>57.4</v>
          </cell>
        </row>
        <row r="972">
          <cell r="C972" t="str">
            <v>Treatment</v>
          </cell>
          <cell r="H972">
            <v>1</v>
          </cell>
          <cell r="I972">
            <v>1</v>
          </cell>
          <cell r="J972">
            <v>1</v>
          </cell>
          <cell r="K972">
            <v>0</v>
          </cell>
          <cell r="M972">
            <v>0</v>
          </cell>
          <cell r="N972">
            <v>0</v>
          </cell>
          <cell r="P972">
            <v>0</v>
          </cell>
          <cell r="R972">
            <v>83.6</v>
          </cell>
        </row>
        <row r="973">
          <cell r="C973" t="str">
            <v>Treatment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M973">
            <v>0</v>
          </cell>
          <cell r="N973">
            <v>0</v>
          </cell>
          <cell r="P973">
            <v>0</v>
          </cell>
          <cell r="R973">
            <v>45.8</v>
          </cell>
        </row>
        <row r="974">
          <cell r="C974" t="str">
            <v>Treatment</v>
          </cell>
          <cell r="H974">
            <v>1</v>
          </cell>
          <cell r="I974">
            <v>1</v>
          </cell>
          <cell r="J974">
            <v>1</v>
          </cell>
          <cell r="K974">
            <v>0</v>
          </cell>
          <cell r="M974">
            <v>0</v>
          </cell>
          <cell r="N974">
            <v>0</v>
          </cell>
          <cell r="P974">
            <v>0</v>
          </cell>
          <cell r="R974">
            <v>64.3</v>
          </cell>
        </row>
        <row r="975">
          <cell r="C975" t="str">
            <v>Treatment</v>
          </cell>
          <cell r="H975">
            <v>1</v>
          </cell>
          <cell r="I975">
            <v>1</v>
          </cell>
          <cell r="J975">
            <v>1</v>
          </cell>
          <cell r="K975">
            <v>0</v>
          </cell>
          <cell r="M975">
            <v>0</v>
          </cell>
          <cell r="N975">
            <v>0</v>
          </cell>
          <cell r="P975">
            <v>0</v>
          </cell>
          <cell r="R975">
            <v>80.5</v>
          </cell>
        </row>
        <row r="976">
          <cell r="C976" t="str">
            <v>Treatment</v>
          </cell>
          <cell r="H976">
            <v>1</v>
          </cell>
          <cell r="I976">
            <v>0</v>
          </cell>
          <cell r="J976">
            <v>0</v>
          </cell>
          <cell r="K976">
            <v>0</v>
          </cell>
          <cell r="M976">
            <v>0</v>
          </cell>
          <cell r="N976">
            <v>0</v>
          </cell>
          <cell r="P976">
            <v>0</v>
          </cell>
          <cell r="R976">
            <v>46.3</v>
          </cell>
        </row>
        <row r="977">
          <cell r="C977" t="str">
            <v>Treatment</v>
          </cell>
          <cell r="H977">
            <v>1</v>
          </cell>
          <cell r="I977">
            <v>0</v>
          </cell>
          <cell r="J977">
            <v>0</v>
          </cell>
          <cell r="K977">
            <v>0</v>
          </cell>
          <cell r="M977">
            <v>0</v>
          </cell>
          <cell r="N977">
            <v>0</v>
          </cell>
          <cell r="P977">
            <v>0</v>
          </cell>
          <cell r="R977">
            <v>71.599999999999994</v>
          </cell>
        </row>
        <row r="978">
          <cell r="C978" t="str">
            <v>Treatment</v>
          </cell>
          <cell r="H978">
            <v>1</v>
          </cell>
          <cell r="I978">
            <v>1</v>
          </cell>
          <cell r="J978">
            <v>0</v>
          </cell>
          <cell r="K978">
            <v>0</v>
          </cell>
          <cell r="M978">
            <v>0</v>
          </cell>
          <cell r="N978">
            <v>0</v>
          </cell>
          <cell r="P978">
            <v>0</v>
          </cell>
          <cell r="R978">
            <v>57.8</v>
          </cell>
        </row>
        <row r="979">
          <cell r="C979" t="str">
            <v>Treatment</v>
          </cell>
          <cell r="H979">
            <v>1</v>
          </cell>
          <cell r="I979">
            <v>1</v>
          </cell>
          <cell r="J979">
            <v>1</v>
          </cell>
          <cell r="K979">
            <v>0</v>
          </cell>
          <cell r="M979">
            <v>0</v>
          </cell>
          <cell r="N979">
            <v>1</v>
          </cell>
          <cell r="P979">
            <v>0</v>
          </cell>
          <cell r="R979">
            <v>57.8</v>
          </cell>
        </row>
        <row r="980">
          <cell r="C980" t="str">
            <v>Treatment</v>
          </cell>
          <cell r="H980">
            <v>1</v>
          </cell>
          <cell r="I980">
            <v>0</v>
          </cell>
          <cell r="J980">
            <v>0</v>
          </cell>
          <cell r="K980">
            <v>0</v>
          </cell>
          <cell r="M980">
            <v>0</v>
          </cell>
          <cell r="N980">
            <v>0</v>
          </cell>
          <cell r="P980">
            <v>0</v>
          </cell>
          <cell r="R980">
            <v>38.299999999999997</v>
          </cell>
        </row>
        <row r="981">
          <cell r="C981" t="str">
            <v>Treatment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M981">
            <v>0</v>
          </cell>
          <cell r="N981">
            <v>1</v>
          </cell>
          <cell r="P981">
            <v>0</v>
          </cell>
          <cell r="R981">
            <v>66.099999999999994</v>
          </cell>
        </row>
        <row r="982">
          <cell r="C982" t="str">
            <v>Treatment</v>
          </cell>
          <cell r="H982">
            <v>1</v>
          </cell>
          <cell r="I982">
            <v>0</v>
          </cell>
          <cell r="J982">
            <v>0</v>
          </cell>
          <cell r="K982">
            <v>0</v>
          </cell>
          <cell r="M982">
            <v>0</v>
          </cell>
          <cell r="N982">
            <v>0</v>
          </cell>
          <cell r="P982">
            <v>0</v>
          </cell>
          <cell r="R982">
            <v>66.5</v>
          </cell>
        </row>
        <row r="983">
          <cell r="C983" t="str">
            <v>Treatment</v>
          </cell>
          <cell r="H983">
            <v>1</v>
          </cell>
          <cell r="I983">
            <v>0</v>
          </cell>
          <cell r="J983">
            <v>0</v>
          </cell>
          <cell r="K983">
            <v>0</v>
          </cell>
          <cell r="M983">
            <v>0</v>
          </cell>
          <cell r="N983">
            <v>3</v>
          </cell>
          <cell r="P983">
            <v>0</v>
          </cell>
          <cell r="R983">
            <v>51.5</v>
          </cell>
        </row>
        <row r="984">
          <cell r="C984" t="str">
            <v>Treatment</v>
          </cell>
          <cell r="H984">
            <v>1</v>
          </cell>
          <cell r="I984">
            <v>0</v>
          </cell>
          <cell r="J984">
            <v>0</v>
          </cell>
          <cell r="K984">
            <v>0</v>
          </cell>
          <cell r="M984">
            <v>0</v>
          </cell>
          <cell r="N984">
            <v>0</v>
          </cell>
          <cell r="P984">
            <v>0</v>
          </cell>
          <cell r="R984">
            <v>59.9</v>
          </cell>
        </row>
        <row r="985">
          <cell r="C985" t="str">
            <v>Treatment</v>
          </cell>
          <cell r="H985">
            <v>1</v>
          </cell>
          <cell r="I985">
            <v>0</v>
          </cell>
          <cell r="J985">
            <v>0</v>
          </cell>
          <cell r="K985">
            <v>0</v>
          </cell>
          <cell r="M985">
            <v>0</v>
          </cell>
          <cell r="N985">
            <v>0</v>
          </cell>
          <cell r="P985">
            <v>0</v>
          </cell>
          <cell r="R985">
            <v>58.8</v>
          </cell>
        </row>
        <row r="986">
          <cell r="C986" t="str">
            <v>Treatment</v>
          </cell>
          <cell r="H986">
            <v>1</v>
          </cell>
          <cell r="I986">
            <v>0</v>
          </cell>
          <cell r="J986">
            <v>0</v>
          </cell>
          <cell r="K986">
            <v>0</v>
          </cell>
          <cell r="M986">
            <v>0</v>
          </cell>
          <cell r="N986">
            <v>0</v>
          </cell>
          <cell r="P986">
            <v>0</v>
          </cell>
          <cell r="R986">
            <v>69.599999999999994</v>
          </cell>
        </row>
        <row r="987">
          <cell r="C987" t="str">
            <v>Treatment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M987">
            <v>0</v>
          </cell>
          <cell r="N987">
            <v>0</v>
          </cell>
          <cell r="P987">
            <v>0</v>
          </cell>
          <cell r="R987">
            <v>77.5</v>
          </cell>
        </row>
        <row r="988">
          <cell r="C988" t="str">
            <v>Treatment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M988">
            <v>0</v>
          </cell>
          <cell r="N988">
            <v>2</v>
          </cell>
          <cell r="P988">
            <v>0</v>
          </cell>
          <cell r="R988">
            <v>57.5</v>
          </cell>
        </row>
        <row r="989">
          <cell r="C989" t="str">
            <v>Treatment</v>
          </cell>
          <cell r="H989">
            <v>1</v>
          </cell>
          <cell r="I989">
            <v>0</v>
          </cell>
          <cell r="J989">
            <v>0</v>
          </cell>
          <cell r="K989">
            <v>0</v>
          </cell>
          <cell r="M989">
            <v>0</v>
          </cell>
          <cell r="N989">
            <v>0</v>
          </cell>
          <cell r="P989">
            <v>0</v>
          </cell>
          <cell r="R989">
            <v>64.2</v>
          </cell>
        </row>
        <row r="990">
          <cell r="C990" t="str">
            <v>Treatment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M990">
            <v>0</v>
          </cell>
          <cell r="N990">
            <v>0</v>
          </cell>
          <cell r="P990">
            <v>0</v>
          </cell>
          <cell r="R990">
            <v>60</v>
          </cell>
        </row>
        <row r="991">
          <cell r="C991" t="str">
            <v>Treatment</v>
          </cell>
          <cell r="H991">
            <v>1</v>
          </cell>
          <cell r="I991">
            <v>0</v>
          </cell>
          <cell r="J991">
            <v>0</v>
          </cell>
          <cell r="K991">
            <v>0</v>
          </cell>
          <cell r="M991">
            <v>0</v>
          </cell>
          <cell r="N991">
            <v>1</v>
          </cell>
          <cell r="P991">
            <v>0</v>
          </cell>
          <cell r="R991">
            <v>43.7</v>
          </cell>
        </row>
        <row r="992">
          <cell r="C992" t="str">
            <v>Treatment</v>
          </cell>
          <cell r="H992">
            <v>1</v>
          </cell>
          <cell r="I992">
            <v>0</v>
          </cell>
          <cell r="J992">
            <v>0</v>
          </cell>
          <cell r="K992">
            <v>0</v>
          </cell>
          <cell r="M992">
            <v>0</v>
          </cell>
          <cell r="N992">
            <v>0</v>
          </cell>
          <cell r="P992">
            <v>0</v>
          </cell>
          <cell r="R992">
            <v>64.900000000000006</v>
          </cell>
        </row>
        <row r="993">
          <cell r="C993" t="str">
            <v>Treatment</v>
          </cell>
          <cell r="H993">
            <v>1</v>
          </cell>
          <cell r="I993">
            <v>1</v>
          </cell>
          <cell r="J993">
            <v>0</v>
          </cell>
          <cell r="K993">
            <v>0</v>
          </cell>
          <cell r="M993">
            <v>0</v>
          </cell>
          <cell r="N993">
            <v>0</v>
          </cell>
          <cell r="P993">
            <v>0</v>
          </cell>
          <cell r="R993">
            <v>45.5</v>
          </cell>
        </row>
        <row r="994">
          <cell r="C994" t="str">
            <v>Treatment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M994">
            <v>1496.19</v>
          </cell>
          <cell r="N994">
            <v>0</v>
          </cell>
          <cell r="P994">
            <v>0</v>
          </cell>
          <cell r="Q994">
            <v>8</v>
          </cell>
          <cell r="R994">
            <v>61.2</v>
          </cell>
        </row>
        <row r="995">
          <cell r="C995" t="str">
            <v>Treatment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M995">
            <v>0</v>
          </cell>
          <cell r="N995">
            <v>0</v>
          </cell>
          <cell r="P995">
            <v>0</v>
          </cell>
          <cell r="R995">
            <v>87.8</v>
          </cell>
        </row>
        <row r="996">
          <cell r="C996" t="str">
            <v>Treatment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M996">
            <v>0</v>
          </cell>
          <cell r="N996">
            <v>0</v>
          </cell>
          <cell r="P996">
            <v>0</v>
          </cell>
          <cell r="R996">
            <v>86.4</v>
          </cell>
        </row>
        <row r="997">
          <cell r="C997" t="str">
            <v>Treatment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M997">
            <v>0</v>
          </cell>
          <cell r="N997">
            <v>1</v>
          </cell>
          <cell r="P997">
            <v>0</v>
          </cell>
          <cell r="R997">
            <v>71.400000000000006</v>
          </cell>
        </row>
        <row r="998">
          <cell r="C998" t="str">
            <v>Treatment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M998">
            <v>218.66</v>
          </cell>
          <cell r="N998">
            <v>0</v>
          </cell>
          <cell r="P998">
            <v>1</v>
          </cell>
          <cell r="Q998">
            <v>8</v>
          </cell>
          <cell r="R998">
            <v>72.2</v>
          </cell>
        </row>
        <row r="999">
          <cell r="C999" t="str">
            <v>Treatment</v>
          </cell>
          <cell r="H999">
            <v>1</v>
          </cell>
          <cell r="I999">
            <v>0</v>
          </cell>
          <cell r="J999">
            <v>0</v>
          </cell>
          <cell r="K999">
            <v>0</v>
          </cell>
          <cell r="M999">
            <v>0</v>
          </cell>
          <cell r="N999">
            <v>0</v>
          </cell>
          <cell r="P999">
            <v>0</v>
          </cell>
          <cell r="R999">
            <v>51.9</v>
          </cell>
        </row>
        <row r="1000">
          <cell r="C1000" t="str">
            <v>Treatment</v>
          </cell>
          <cell r="H1000">
            <v>1</v>
          </cell>
          <cell r="I1000">
            <v>1</v>
          </cell>
          <cell r="J1000">
            <v>1</v>
          </cell>
          <cell r="K1000">
            <v>0</v>
          </cell>
          <cell r="M1000">
            <v>0</v>
          </cell>
          <cell r="N1000">
            <v>0</v>
          </cell>
          <cell r="P1000">
            <v>0</v>
          </cell>
          <cell r="R1000">
            <v>70.3</v>
          </cell>
        </row>
        <row r="1001">
          <cell r="C1001" t="str">
            <v>Treatment</v>
          </cell>
          <cell r="H1001">
            <v>1</v>
          </cell>
          <cell r="I1001">
            <v>0</v>
          </cell>
          <cell r="J1001">
            <v>0</v>
          </cell>
          <cell r="K1001">
            <v>0</v>
          </cell>
          <cell r="M1001">
            <v>0</v>
          </cell>
          <cell r="N1001">
            <v>1</v>
          </cell>
          <cell r="P1001">
            <v>0</v>
          </cell>
          <cell r="R1001">
            <v>49.2</v>
          </cell>
        </row>
        <row r="1002">
          <cell r="C1002" t="str">
            <v>Treatment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M1002">
            <v>0</v>
          </cell>
          <cell r="N1002">
            <v>0</v>
          </cell>
          <cell r="P1002">
            <v>0</v>
          </cell>
          <cell r="R1002">
            <v>52.2</v>
          </cell>
        </row>
        <row r="1003">
          <cell r="C1003" t="str">
            <v>Treatment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M1003">
            <v>0</v>
          </cell>
          <cell r="N1003">
            <v>1</v>
          </cell>
          <cell r="P1003">
            <v>0</v>
          </cell>
          <cell r="R1003">
            <v>62.6</v>
          </cell>
        </row>
        <row r="1004">
          <cell r="C1004" t="str">
            <v>Treatment</v>
          </cell>
          <cell r="H1004">
            <v>1</v>
          </cell>
          <cell r="I1004">
            <v>1</v>
          </cell>
          <cell r="J1004">
            <v>0</v>
          </cell>
          <cell r="K1004">
            <v>0</v>
          </cell>
          <cell r="M1004">
            <v>0</v>
          </cell>
          <cell r="N1004">
            <v>0</v>
          </cell>
          <cell r="P1004">
            <v>0</v>
          </cell>
          <cell r="R1004">
            <v>100</v>
          </cell>
        </row>
        <row r="1005">
          <cell r="C1005" t="str">
            <v>Treatment</v>
          </cell>
          <cell r="H1005">
            <v>1</v>
          </cell>
          <cell r="I1005">
            <v>1</v>
          </cell>
          <cell r="J1005">
            <v>1</v>
          </cell>
          <cell r="K1005">
            <v>0</v>
          </cell>
          <cell r="M1005">
            <v>0</v>
          </cell>
          <cell r="N1005">
            <v>2</v>
          </cell>
          <cell r="P1005">
            <v>0</v>
          </cell>
          <cell r="R1005">
            <v>45.9</v>
          </cell>
        </row>
        <row r="1006">
          <cell r="C1006" t="str">
            <v>Treatment</v>
          </cell>
          <cell r="H1006">
            <v>1</v>
          </cell>
          <cell r="I1006">
            <v>1</v>
          </cell>
          <cell r="J1006">
            <v>1</v>
          </cell>
          <cell r="K1006">
            <v>0</v>
          </cell>
          <cell r="M1006">
            <v>0</v>
          </cell>
          <cell r="N1006">
            <v>0</v>
          </cell>
          <cell r="P1006">
            <v>0</v>
          </cell>
          <cell r="R1006">
            <v>80.7</v>
          </cell>
        </row>
        <row r="1007">
          <cell r="C1007" t="str">
            <v>Treatment</v>
          </cell>
          <cell r="H1007">
            <v>1</v>
          </cell>
          <cell r="I1007">
            <v>0</v>
          </cell>
          <cell r="J1007">
            <v>0</v>
          </cell>
          <cell r="K1007">
            <v>0</v>
          </cell>
          <cell r="M1007">
            <v>0</v>
          </cell>
          <cell r="N1007">
            <v>0</v>
          </cell>
          <cell r="P1007">
            <v>0</v>
          </cell>
          <cell r="R1007">
            <v>51.9</v>
          </cell>
        </row>
        <row r="1008">
          <cell r="C1008" t="str">
            <v>Treatment</v>
          </cell>
          <cell r="H1008">
            <v>1</v>
          </cell>
          <cell r="I1008">
            <v>0</v>
          </cell>
          <cell r="J1008">
            <v>0</v>
          </cell>
          <cell r="K1008">
            <v>0</v>
          </cell>
          <cell r="M1008">
            <v>0</v>
          </cell>
          <cell r="N1008">
            <v>0</v>
          </cell>
          <cell r="P1008">
            <v>0</v>
          </cell>
          <cell r="R1008">
            <v>68.900000000000006</v>
          </cell>
        </row>
        <row r="1009">
          <cell r="C1009" t="str">
            <v>Treatment</v>
          </cell>
          <cell r="H1009">
            <v>1</v>
          </cell>
          <cell r="I1009">
            <v>0</v>
          </cell>
          <cell r="J1009">
            <v>0</v>
          </cell>
          <cell r="K1009">
            <v>0</v>
          </cell>
          <cell r="M1009">
            <v>0</v>
          </cell>
          <cell r="N1009">
            <v>0</v>
          </cell>
          <cell r="P1009">
            <v>0</v>
          </cell>
          <cell r="R1009">
            <v>66</v>
          </cell>
        </row>
        <row r="1010">
          <cell r="C1010" t="str">
            <v>Treatment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M1010">
            <v>0</v>
          </cell>
          <cell r="N1010">
            <v>0</v>
          </cell>
          <cell r="P1010">
            <v>0</v>
          </cell>
          <cell r="R1010">
            <v>63.1</v>
          </cell>
        </row>
        <row r="1011">
          <cell r="C1011" t="str">
            <v>Treatment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M1011">
            <v>0</v>
          </cell>
          <cell r="N1011">
            <v>0</v>
          </cell>
          <cell r="P1011">
            <v>0</v>
          </cell>
          <cell r="R1011">
            <v>56</v>
          </cell>
        </row>
        <row r="1012">
          <cell r="C1012" t="str">
            <v>Treatment</v>
          </cell>
          <cell r="H1012">
            <v>1</v>
          </cell>
          <cell r="I1012">
            <v>0</v>
          </cell>
          <cell r="J1012">
            <v>0</v>
          </cell>
          <cell r="K1012">
            <v>0</v>
          </cell>
          <cell r="M1012">
            <v>0</v>
          </cell>
          <cell r="N1012">
            <v>1</v>
          </cell>
          <cell r="P1012">
            <v>0</v>
          </cell>
          <cell r="R1012">
            <v>65.7</v>
          </cell>
        </row>
        <row r="1013">
          <cell r="C1013" t="str">
            <v>Treatment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M1013">
            <v>1496.19</v>
          </cell>
          <cell r="N1013">
            <v>1</v>
          </cell>
          <cell r="P1013">
            <v>0</v>
          </cell>
          <cell r="Q1013">
            <v>9</v>
          </cell>
          <cell r="R1013">
            <v>60.9</v>
          </cell>
        </row>
        <row r="1014">
          <cell r="C1014" t="str">
            <v>Treatment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M1014">
            <v>0</v>
          </cell>
          <cell r="N1014">
            <v>0</v>
          </cell>
          <cell r="P1014">
            <v>0</v>
          </cell>
          <cell r="R1014">
            <v>45.5</v>
          </cell>
        </row>
        <row r="1015">
          <cell r="C1015" t="str">
            <v>Treatment</v>
          </cell>
          <cell r="H1015">
            <v>1</v>
          </cell>
          <cell r="I1015">
            <v>0</v>
          </cell>
          <cell r="J1015">
            <v>0</v>
          </cell>
          <cell r="K1015">
            <v>0</v>
          </cell>
          <cell r="M1015">
            <v>0</v>
          </cell>
          <cell r="N1015">
            <v>0</v>
          </cell>
          <cell r="P1015">
            <v>0</v>
          </cell>
          <cell r="R1015">
            <v>50</v>
          </cell>
        </row>
        <row r="1016">
          <cell r="C1016" t="str">
            <v>Treatment</v>
          </cell>
          <cell r="H1016">
            <v>1</v>
          </cell>
          <cell r="I1016">
            <v>0</v>
          </cell>
          <cell r="J1016">
            <v>0</v>
          </cell>
          <cell r="K1016">
            <v>0</v>
          </cell>
          <cell r="M1016">
            <v>0</v>
          </cell>
          <cell r="N1016">
            <v>0</v>
          </cell>
          <cell r="P1016">
            <v>0</v>
          </cell>
          <cell r="R1016">
            <v>72.099999999999994</v>
          </cell>
        </row>
        <row r="1017">
          <cell r="C1017" t="str">
            <v>Treatment</v>
          </cell>
          <cell r="H1017">
            <v>1</v>
          </cell>
          <cell r="I1017">
            <v>0</v>
          </cell>
          <cell r="J1017">
            <v>0</v>
          </cell>
          <cell r="K1017">
            <v>0</v>
          </cell>
          <cell r="M1017">
            <v>0</v>
          </cell>
          <cell r="N1017">
            <v>0</v>
          </cell>
          <cell r="P1017">
            <v>0</v>
          </cell>
          <cell r="R1017">
            <v>76.3</v>
          </cell>
        </row>
        <row r="1018">
          <cell r="C1018" t="str">
            <v>Treatment</v>
          </cell>
          <cell r="H1018">
            <v>1</v>
          </cell>
          <cell r="I1018">
            <v>1</v>
          </cell>
          <cell r="J1018">
            <v>0</v>
          </cell>
          <cell r="K1018">
            <v>0</v>
          </cell>
          <cell r="M1018">
            <v>0</v>
          </cell>
          <cell r="N1018">
            <v>1</v>
          </cell>
          <cell r="P1018">
            <v>0</v>
          </cell>
          <cell r="R1018">
            <v>54.8</v>
          </cell>
        </row>
        <row r="1019">
          <cell r="C1019" t="str">
            <v>Treatment</v>
          </cell>
          <cell r="H1019">
            <v>1</v>
          </cell>
          <cell r="I1019">
            <v>0</v>
          </cell>
          <cell r="J1019">
            <v>0</v>
          </cell>
          <cell r="K1019">
            <v>0</v>
          </cell>
          <cell r="M1019">
            <v>0</v>
          </cell>
          <cell r="N1019">
            <v>0</v>
          </cell>
          <cell r="P1019">
            <v>0</v>
          </cell>
          <cell r="R1019">
            <v>63.6</v>
          </cell>
        </row>
        <row r="1020">
          <cell r="C1020" t="str">
            <v>Treatment</v>
          </cell>
          <cell r="H1020">
            <v>1</v>
          </cell>
          <cell r="I1020">
            <v>0</v>
          </cell>
          <cell r="J1020">
            <v>0</v>
          </cell>
          <cell r="K1020">
            <v>0</v>
          </cell>
          <cell r="M1020">
            <v>0</v>
          </cell>
          <cell r="N1020">
            <v>0</v>
          </cell>
          <cell r="P1020">
            <v>0</v>
          </cell>
          <cell r="R1020">
            <v>68.8</v>
          </cell>
        </row>
        <row r="1021">
          <cell r="C1021" t="str">
            <v>Treatment</v>
          </cell>
          <cell r="H1021">
            <v>1</v>
          </cell>
          <cell r="I1021">
            <v>0</v>
          </cell>
          <cell r="J1021">
            <v>0</v>
          </cell>
          <cell r="K1021">
            <v>0</v>
          </cell>
          <cell r="M1021">
            <v>0</v>
          </cell>
          <cell r="N1021">
            <v>0</v>
          </cell>
          <cell r="P1021">
            <v>0</v>
          </cell>
          <cell r="R1021">
            <v>63.2</v>
          </cell>
        </row>
        <row r="1022">
          <cell r="C1022" t="str">
            <v>Treatment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M1022">
            <v>0</v>
          </cell>
          <cell r="N1022">
            <v>0</v>
          </cell>
          <cell r="P1022">
            <v>0</v>
          </cell>
          <cell r="R1022">
            <v>45</v>
          </cell>
        </row>
        <row r="1023">
          <cell r="C1023" t="str">
            <v>Treatment</v>
          </cell>
          <cell r="H1023">
            <v>1</v>
          </cell>
          <cell r="I1023">
            <v>0</v>
          </cell>
          <cell r="J1023">
            <v>0</v>
          </cell>
          <cell r="K1023">
            <v>0</v>
          </cell>
          <cell r="M1023">
            <v>0</v>
          </cell>
          <cell r="N1023">
            <v>0</v>
          </cell>
          <cell r="P1023">
            <v>0</v>
          </cell>
          <cell r="R1023">
            <v>77.400000000000006</v>
          </cell>
        </row>
        <row r="1024">
          <cell r="C1024" t="str">
            <v>Treatment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M1024">
            <v>0</v>
          </cell>
          <cell r="N1024">
            <v>0</v>
          </cell>
          <cell r="P1024">
            <v>0</v>
          </cell>
          <cell r="R1024">
            <v>53.1</v>
          </cell>
        </row>
        <row r="1025">
          <cell r="C1025" t="str">
            <v>Treatment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M1025">
            <v>0</v>
          </cell>
          <cell r="N1025">
            <v>0</v>
          </cell>
          <cell r="P1025">
            <v>0</v>
          </cell>
          <cell r="R1025">
            <v>74</v>
          </cell>
        </row>
        <row r="1026">
          <cell r="C1026" t="str">
            <v>Treatment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M1026">
            <v>1496.19</v>
          </cell>
          <cell r="N1026">
            <v>0</v>
          </cell>
          <cell r="P1026">
            <v>0</v>
          </cell>
          <cell r="Q1026">
            <v>4</v>
          </cell>
          <cell r="R1026">
            <v>84.6</v>
          </cell>
        </row>
        <row r="1027">
          <cell r="C1027" t="str">
            <v>Treatment</v>
          </cell>
          <cell r="H1027">
            <v>1</v>
          </cell>
          <cell r="I1027">
            <v>0</v>
          </cell>
          <cell r="J1027">
            <v>0</v>
          </cell>
          <cell r="K1027">
            <v>0</v>
          </cell>
          <cell r="M1027">
            <v>0</v>
          </cell>
          <cell r="N1027">
            <v>0</v>
          </cell>
          <cell r="P1027">
            <v>0</v>
          </cell>
          <cell r="R1027">
            <v>57</v>
          </cell>
        </row>
        <row r="1028">
          <cell r="C1028" t="str">
            <v>Treatment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M1028">
            <v>0</v>
          </cell>
          <cell r="N1028">
            <v>0</v>
          </cell>
          <cell r="P1028">
            <v>0</v>
          </cell>
          <cell r="R1028">
            <v>46.3</v>
          </cell>
        </row>
        <row r="1029">
          <cell r="C1029" t="str">
            <v>Treatment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M1029">
            <v>0</v>
          </cell>
          <cell r="N1029">
            <v>1</v>
          </cell>
          <cell r="P1029">
            <v>0</v>
          </cell>
          <cell r="R1029">
            <v>64.400000000000006</v>
          </cell>
        </row>
        <row r="1030">
          <cell r="C1030" t="str">
            <v>Treatment</v>
          </cell>
          <cell r="H1030">
            <v>1</v>
          </cell>
          <cell r="I1030">
            <v>0</v>
          </cell>
          <cell r="J1030">
            <v>0</v>
          </cell>
          <cell r="K1030">
            <v>0</v>
          </cell>
          <cell r="M1030">
            <v>0</v>
          </cell>
          <cell r="N1030">
            <v>2</v>
          </cell>
          <cell r="P1030">
            <v>0</v>
          </cell>
          <cell r="R1030">
            <v>61.9</v>
          </cell>
        </row>
        <row r="1031">
          <cell r="C1031" t="str">
            <v>Treatment</v>
          </cell>
          <cell r="H1031">
            <v>1</v>
          </cell>
          <cell r="I1031">
            <v>1</v>
          </cell>
          <cell r="J1031">
            <v>1</v>
          </cell>
          <cell r="K1031">
            <v>0</v>
          </cell>
          <cell r="M1031">
            <v>0</v>
          </cell>
          <cell r="N1031">
            <v>0</v>
          </cell>
          <cell r="P1031">
            <v>0</v>
          </cell>
          <cell r="R1031">
            <v>93.7</v>
          </cell>
        </row>
        <row r="1032">
          <cell r="C1032" t="str">
            <v>Treatment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M1032">
            <v>0</v>
          </cell>
          <cell r="N1032">
            <v>0</v>
          </cell>
          <cell r="P1032">
            <v>0</v>
          </cell>
          <cell r="R1032">
            <v>61.6</v>
          </cell>
        </row>
        <row r="1033">
          <cell r="C1033" t="str">
            <v>Treatment</v>
          </cell>
          <cell r="H1033">
            <v>1</v>
          </cell>
          <cell r="I1033">
            <v>0</v>
          </cell>
          <cell r="J1033">
            <v>0</v>
          </cell>
          <cell r="K1033">
            <v>0</v>
          </cell>
          <cell r="M1033">
            <v>0</v>
          </cell>
          <cell r="N1033">
            <v>0</v>
          </cell>
          <cell r="P1033">
            <v>0</v>
          </cell>
          <cell r="R1033">
            <v>72.2</v>
          </cell>
        </row>
        <row r="1034">
          <cell r="C1034" t="str">
            <v>Treatment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M1034">
            <v>0</v>
          </cell>
          <cell r="N1034">
            <v>0</v>
          </cell>
          <cell r="P1034">
            <v>0</v>
          </cell>
          <cell r="R1034">
            <v>69.5</v>
          </cell>
        </row>
        <row r="1035">
          <cell r="C1035" t="str">
            <v>Treatment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M1035">
            <v>0</v>
          </cell>
          <cell r="N1035">
            <v>0</v>
          </cell>
          <cell r="P1035">
            <v>0</v>
          </cell>
          <cell r="R1035">
            <v>59.7</v>
          </cell>
        </row>
        <row r="1036">
          <cell r="C1036" t="str">
            <v>Treatment</v>
          </cell>
          <cell r="H1036">
            <v>1</v>
          </cell>
          <cell r="I1036">
            <v>0</v>
          </cell>
          <cell r="J1036">
            <v>0</v>
          </cell>
          <cell r="K1036">
            <v>0</v>
          </cell>
          <cell r="M1036">
            <v>0</v>
          </cell>
          <cell r="N1036">
            <v>0</v>
          </cell>
          <cell r="P1036">
            <v>0</v>
          </cell>
          <cell r="R1036">
            <v>73.900000000000006</v>
          </cell>
        </row>
        <row r="1037">
          <cell r="C1037" t="str">
            <v>Treatment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M1037">
            <v>0</v>
          </cell>
          <cell r="N1037">
            <v>0</v>
          </cell>
          <cell r="P1037">
            <v>0</v>
          </cell>
          <cell r="R1037">
            <v>41.5</v>
          </cell>
        </row>
        <row r="1038">
          <cell r="C1038" t="str">
            <v>Treatment</v>
          </cell>
          <cell r="H1038">
            <v>1</v>
          </cell>
          <cell r="I1038">
            <v>0</v>
          </cell>
          <cell r="J1038">
            <v>0</v>
          </cell>
          <cell r="K1038">
            <v>0</v>
          </cell>
          <cell r="M1038">
            <v>0</v>
          </cell>
          <cell r="N1038">
            <v>0</v>
          </cell>
          <cell r="P1038">
            <v>0</v>
          </cell>
          <cell r="R1038">
            <v>82.8</v>
          </cell>
        </row>
        <row r="1039">
          <cell r="C1039" t="str">
            <v>Treatment</v>
          </cell>
          <cell r="H1039">
            <v>1</v>
          </cell>
          <cell r="I1039">
            <v>0</v>
          </cell>
          <cell r="J1039">
            <v>0</v>
          </cell>
          <cell r="K1039">
            <v>0</v>
          </cell>
          <cell r="M1039">
            <v>0</v>
          </cell>
          <cell r="N1039">
            <v>3</v>
          </cell>
          <cell r="P1039">
            <v>0</v>
          </cell>
          <cell r="R1039">
            <v>70.2</v>
          </cell>
        </row>
        <row r="1040">
          <cell r="C1040" t="str">
            <v>Treatment</v>
          </cell>
          <cell r="H1040">
            <v>1</v>
          </cell>
          <cell r="I1040">
            <v>0</v>
          </cell>
          <cell r="J1040">
            <v>0</v>
          </cell>
          <cell r="K1040">
            <v>0</v>
          </cell>
          <cell r="M1040">
            <v>0</v>
          </cell>
          <cell r="N1040">
            <v>1</v>
          </cell>
          <cell r="P1040">
            <v>0</v>
          </cell>
          <cell r="R1040">
            <v>69.400000000000006</v>
          </cell>
        </row>
        <row r="1041">
          <cell r="C1041" t="str">
            <v>Treatment</v>
          </cell>
          <cell r="H1041">
            <v>1</v>
          </cell>
          <cell r="I1041">
            <v>0</v>
          </cell>
          <cell r="J1041">
            <v>0</v>
          </cell>
          <cell r="K1041">
            <v>0</v>
          </cell>
          <cell r="M1041">
            <v>0</v>
          </cell>
          <cell r="N1041">
            <v>0</v>
          </cell>
          <cell r="P1041">
            <v>0</v>
          </cell>
          <cell r="R1041">
            <v>60.4</v>
          </cell>
        </row>
        <row r="1042">
          <cell r="C1042" t="str">
            <v>Treatment</v>
          </cell>
          <cell r="H1042">
            <v>1</v>
          </cell>
          <cell r="I1042">
            <v>0</v>
          </cell>
          <cell r="J1042">
            <v>0</v>
          </cell>
          <cell r="K1042">
            <v>0</v>
          </cell>
          <cell r="M1042">
            <v>0</v>
          </cell>
          <cell r="N1042">
            <v>0</v>
          </cell>
          <cell r="P1042">
            <v>0</v>
          </cell>
          <cell r="R1042">
            <v>45.7</v>
          </cell>
        </row>
        <row r="1043">
          <cell r="C1043" t="str">
            <v>Treatment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M1043">
            <v>0</v>
          </cell>
          <cell r="N1043">
            <v>1</v>
          </cell>
          <cell r="P1043">
            <v>0</v>
          </cell>
          <cell r="R1043">
            <v>42.2</v>
          </cell>
        </row>
        <row r="1044">
          <cell r="C1044" t="str">
            <v>Treatment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M1044">
            <v>0</v>
          </cell>
          <cell r="N1044">
            <v>2</v>
          </cell>
          <cell r="P1044">
            <v>0</v>
          </cell>
          <cell r="R1044">
            <v>61.9</v>
          </cell>
        </row>
        <row r="1045">
          <cell r="C1045" t="str">
            <v>Treatment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M1045">
            <v>0</v>
          </cell>
          <cell r="N1045">
            <v>0</v>
          </cell>
          <cell r="P1045">
            <v>0</v>
          </cell>
          <cell r="R1045">
            <v>44.9</v>
          </cell>
        </row>
        <row r="1046">
          <cell r="C1046" t="str">
            <v>Treatment</v>
          </cell>
          <cell r="H1046">
            <v>1</v>
          </cell>
          <cell r="I1046">
            <v>0</v>
          </cell>
          <cell r="J1046">
            <v>0</v>
          </cell>
          <cell r="K1046">
            <v>0</v>
          </cell>
          <cell r="M1046">
            <v>0</v>
          </cell>
          <cell r="N1046">
            <v>0</v>
          </cell>
          <cell r="P1046">
            <v>0</v>
          </cell>
          <cell r="R1046">
            <v>68</v>
          </cell>
        </row>
        <row r="1047">
          <cell r="C1047" t="str">
            <v>Treatment</v>
          </cell>
          <cell r="H1047">
            <v>1</v>
          </cell>
          <cell r="I1047">
            <v>0</v>
          </cell>
          <cell r="J1047">
            <v>0</v>
          </cell>
          <cell r="K1047">
            <v>0</v>
          </cell>
          <cell r="M1047">
            <v>0</v>
          </cell>
          <cell r="N1047">
            <v>0</v>
          </cell>
          <cell r="P1047">
            <v>0</v>
          </cell>
          <cell r="R1047">
            <v>61</v>
          </cell>
        </row>
        <row r="1048">
          <cell r="C1048" t="str">
            <v>Treatment</v>
          </cell>
          <cell r="H1048">
            <v>1</v>
          </cell>
          <cell r="I1048">
            <v>0</v>
          </cell>
          <cell r="J1048">
            <v>0</v>
          </cell>
          <cell r="K1048">
            <v>0</v>
          </cell>
          <cell r="M1048">
            <v>0</v>
          </cell>
          <cell r="N1048">
            <v>0</v>
          </cell>
          <cell r="P1048">
            <v>0</v>
          </cell>
          <cell r="R1048">
            <v>55</v>
          </cell>
        </row>
        <row r="1049">
          <cell r="C1049" t="str">
            <v>Treatment</v>
          </cell>
          <cell r="H1049">
            <v>1</v>
          </cell>
          <cell r="I1049">
            <v>0</v>
          </cell>
          <cell r="J1049">
            <v>0</v>
          </cell>
          <cell r="K1049">
            <v>0</v>
          </cell>
          <cell r="M1049">
            <v>0</v>
          </cell>
          <cell r="N1049">
            <v>0</v>
          </cell>
          <cell r="P1049">
            <v>0</v>
          </cell>
          <cell r="R1049">
            <v>63.1</v>
          </cell>
        </row>
        <row r="1050">
          <cell r="C1050" t="str">
            <v>Treatment</v>
          </cell>
          <cell r="H1050">
            <v>1</v>
          </cell>
          <cell r="I1050">
            <v>0</v>
          </cell>
          <cell r="J1050">
            <v>0</v>
          </cell>
          <cell r="K1050">
            <v>0</v>
          </cell>
          <cell r="M1050">
            <v>0</v>
          </cell>
          <cell r="N1050">
            <v>0</v>
          </cell>
          <cell r="P1050">
            <v>0</v>
          </cell>
          <cell r="R1050">
            <v>75.8</v>
          </cell>
        </row>
        <row r="1051">
          <cell r="C1051" t="str">
            <v>Treatment</v>
          </cell>
          <cell r="H1051">
            <v>1</v>
          </cell>
          <cell r="I1051">
            <v>1</v>
          </cell>
          <cell r="J1051">
            <v>0</v>
          </cell>
          <cell r="K1051">
            <v>0</v>
          </cell>
          <cell r="M1051">
            <v>0</v>
          </cell>
          <cell r="N1051">
            <v>1</v>
          </cell>
          <cell r="P1051">
            <v>0</v>
          </cell>
          <cell r="R1051">
            <v>43.8</v>
          </cell>
        </row>
        <row r="1052">
          <cell r="C1052" t="str">
            <v>Treatment</v>
          </cell>
          <cell r="H1052">
            <v>1</v>
          </cell>
          <cell r="I1052">
            <v>1</v>
          </cell>
          <cell r="J1052">
            <v>0</v>
          </cell>
          <cell r="K1052">
            <v>0</v>
          </cell>
          <cell r="M1052">
            <v>0</v>
          </cell>
          <cell r="N1052">
            <v>0</v>
          </cell>
          <cell r="P1052">
            <v>0</v>
          </cell>
          <cell r="R1052">
            <v>46.8</v>
          </cell>
        </row>
        <row r="1053">
          <cell r="C1053" t="str">
            <v>Treatment</v>
          </cell>
          <cell r="H1053">
            <v>1</v>
          </cell>
          <cell r="I1053">
            <v>1</v>
          </cell>
          <cell r="J1053">
            <v>1</v>
          </cell>
          <cell r="K1053">
            <v>0</v>
          </cell>
          <cell r="M1053">
            <v>0</v>
          </cell>
          <cell r="N1053">
            <v>0</v>
          </cell>
          <cell r="P1053">
            <v>0</v>
          </cell>
          <cell r="R1053">
            <v>97.4</v>
          </cell>
        </row>
        <row r="1054">
          <cell r="C1054" t="str">
            <v>Treatment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M1054">
            <v>268.95999999999998</v>
          </cell>
          <cell r="N1054">
            <v>0</v>
          </cell>
          <cell r="P1054">
            <v>0</v>
          </cell>
          <cell r="Q1054">
            <v>14</v>
          </cell>
          <cell r="R1054">
            <v>81</v>
          </cell>
        </row>
        <row r="1055">
          <cell r="C1055" t="str">
            <v>Treatment</v>
          </cell>
          <cell r="H1055">
            <v>1</v>
          </cell>
          <cell r="I1055">
            <v>0</v>
          </cell>
          <cell r="J1055">
            <v>0</v>
          </cell>
          <cell r="K1055">
            <v>0</v>
          </cell>
          <cell r="M1055">
            <v>0</v>
          </cell>
          <cell r="N1055">
            <v>1</v>
          </cell>
          <cell r="P1055">
            <v>0</v>
          </cell>
          <cell r="R1055">
            <v>58.9</v>
          </cell>
        </row>
        <row r="1056">
          <cell r="C1056" t="str">
            <v>Treatment</v>
          </cell>
          <cell r="H1056">
            <v>1</v>
          </cell>
          <cell r="I1056">
            <v>0</v>
          </cell>
          <cell r="J1056">
            <v>0</v>
          </cell>
          <cell r="K1056">
            <v>0</v>
          </cell>
          <cell r="M1056">
            <v>0</v>
          </cell>
          <cell r="N1056">
            <v>0</v>
          </cell>
          <cell r="P1056">
            <v>0</v>
          </cell>
          <cell r="R1056">
            <v>51.9</v>
          </cell>
        </row>
        <row r="1057">
          <cell r="C1057" t="str">
            <v>Treatment</v>
          </cell>
          <cell r="H1057">
            <v>1</v>
          </cell>
          <cell r="I1057">
            <v>1</v>
          </cell>
          <cell r="J1057">
            <v>0</v>
          </cell>
          <cell r="K1057">
            <v>0</v>
          </cell>
          <cell r="M1057">
            <v>0</v>
          </cell>
          <cell r="N1057">
            <v>0</v>
          </cell>
          <cell r="P1057">
            <v>0</v>
          </cell>
          <cell r="R1057">
            <v>61.7</v>
          </cell>
        </row>
        <row r="1058">
          <cell r="C1058" t="str">
            <v>Treatment</v>
          </cell>
          <cell r="H1058">
            <v>1</v>
          </cell>
          <cell r="I1058">
            <v>0</v>
          </cell>
          <cell r="J1058">
            <v>0</v>
          </cell>
          <cell r="K1058">
            <v>0</v>
          </cell>
          <cell r="M1058">
            <v>0</v>
          </cell>
          <cell r="N1058">
            <v>0</v>
          </cell>
          <cell r="P1058">
            <v>0</v>
          </cell>
          <cell r="R1058">
            <v>44.7</v>
          </cell>
        </row>
        <row r="1059">
          <cell r="C1059" t="str">
            <v>Treatment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M1059">
            <v>0</v>
          </cell>
          <cell r="N1059">
            <v>0</v>
          </cell>
          <cell r="P1059">
            <v>0</v>
          </cell>
          <cell r="R1059">
            <v>63.2</v>
          </cell>
        </row>
        <row r="1060">
          <cell r="C1060" t="str">
            <v>Treatment</v>
          </cell>
          <cell r="H1060">
            <v>1</v>
          </cell>
          <cell r="I1060">
            <v>0</v>
          </cell>
          <cell r="J1060">
            <v>0</v>
          </cell>
          <cell r="K1060">
            <v>0</v>
          </cell>
          <cell r="M1060">
            <v>0</v>
          </cell>
          <cell r="N1060">
            <v>0</v>
          </cell>
          <cell r="P1060">
            <v>0</v>
          </cell>
          <cell r="R1060">
            <v>70.3</v>
          </cell>
        </row>
        <row r="1061">
          <cell r="C1061" t="str">
            <v>Treatment</v>
          </cell>
          <cell r="H1061">
            <v>1</v>
          </cell>
          <cell r="I1061">
            <v>1</v>
          </cell>
          <cell r="J1061">
            <v>0</v>
          </cell>
          <cell r="K1061">
            <v>0</v>
          </cell>
          <cell r="M1061">
            <v>0</v>
          </cell>
          <cell r="N1061">
            <v>1</v>
          </cell>
          <cell r="P1061">
            <v>0</v>
          </cell>
          <cell r="R1061">
            <v>83.1</v>
          </cell>
        </row>
        <row r="1062">
          <cell r="C1062" t="str">
            <v>Treatment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M1062">
            <v>0</v>
          </cell>
          <cell r="N1062">
            <v>0</v>
          </cell>
          <cell r="P1062">
            <v>0</v>
          </cell>
          <cell r="R1062">
            <v>50.3</v>
          </cell>
        </row>
        <row r="1063">
          <cell r="C1063" t="str">
            <v>Treatment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M1063">
            <v>437.09</v>
          </cell>
          <cell r="N1063">
            <v>2</v>
          </cell>
          <cell r="P1063">
            <v>1</v>
          </cell>
          <cell r="Q1063">
            <v>1</v>
          </cell>
          <cell r="R1063">
            <v>58.2</v>
          </cell>
        </row>
        <row r="1064">
          <cell r="C1064" t="str">
            <v>Treatment</v>
          </cell>
          <cell r="H1064">
            <v>1</v>
          </cell>
          <cell r="I1064">
            <v>1</v>
          </cell>
          <cell r="J1064">
            <v>1</v>
          </cell>
          <cell r="K1064">
            <v>0</v>
          </cell>
          <cell r="M1064">
            <v>0</v>
          </cell>
          <cell r="N1064">
            <v>0</v>
          </cell>
          <cell r="P1064">
            <v>0</v>
          </cell>
          <cell r="R1064">
            <v>53.2</v>
          </cell>
        </row>
        <row r="1065">
          <cell r="C1065" t="str">
            <v>Treatment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M1065">
            <v>0</v>
          </cell>
          <cell r="N1065">
            <v>0</v>
          </cell>
          <cell r="P1065">
            <v>0</v>
          </cell>
          <cell r="R1065">
            <v>36.4</v>
          </cell>
        </row>
        <row r="1066">
          <cell r="C1066" t="str">
            <v>Treatment</v>
          </cell>
          <cell r="H1066">
            <v>1</v>
          </cell>
          <cell r="I1066">
            <v>1</v>
          </cell>
          <cell r="J1066">
            <v>1</v>
          </cell>
          <cell r="K1066">
            <v>0</v>
          </cell>
          <cell r="M1066">
            <v>0</v>
          </cell>
          <cell r="N1066">
            <v>0</v>
          </cell>
          <cell r="P1066">
            <v>0</v>
          </cell>
          <cell r="R1066">
            <v>72.7</v>
          </cell>
        </row>
        <row r="1067">
          <cell r="C1067" t="str">
            <v>Treatment</v>
          </cell>
          <cell r="H1067">
            <v>1</v>
          </cell>
          <cell r="I1067">
            <v>0</v>
          </cell>
          <cell r="J1067">
            <v>0</v>
          </cell>
          <cell r="K1067">
            <v>0</v>
          </cell>
          <cell r="M1067">
            <v>0</v>
          </cell>
          <cell r="N1067">
            <v>1</v>
          </cell>
          <cell r="P1067">
            <v>0</v>
          </cell>
          <cell r="R1067">
            <v>86.7</v>
          </cell>
        </row>
        <row r="1068">
          <cell r="C1068" t="str">
            <v>Treatment</v>
          </cell>
          <cell r="H1068">
            <v>1</v>
          </cell>
          <cell r="I1068">
            <v>0</v>
          </cell>
          <cell r="J1068">
            <v>0</v>
          </cell>
          <cell r="K1068">
            <v>0</v>
          </cell>
          <cell r="M1068">
            <v>0</v>
          </cell>
          <cell r="N1068">
            <v>0</v>
          </cell>
          <cell r="P1068">
            <v>0</v>
          </cell>
          <cell r="R1068">
            <v>48.2</v>
          </cell>
        </row>
        <row r="1069">
          <cell r="C1069" t="str">
            <v>Treatment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M1069">
            <v>0</v>
          </cell>
          <cell r="N1069">
            <v>1</v>
          </cell>
          <cell r="P1069">
            <v>0</v>
          </cell>
          <cell r="R1069">
            <v>57.6</v>
          </cell>
        </row>
        <row r="1070">
          <cell r="C1070" t="str">
            <v>Treatment</v>
          </cell>
          <cell r="H1070">
            <v>1</v>
          </cell>
          <cell r="I1070">
            <v>1</v>
          </cell>
          <cell r="J1070">
            <v>1</v>
          </cell>
          <cell r="K1070">
            <v>0</v>
          </cell>
          <cell r="M1070">
            <v>0</v>
          </cell>
          <cell r="N1070">
            <v>0</v>
          </cell>
          <cell r="P1070">
            <v>0</v>
          </cell>
          <cell r="R1070">
            <v>75.7</v>
          </cell>
        </row>
        <row r="1071">
          <cell r="C1071" t="str">
            <v>Treatment</v>
          </cell>
          <cell r="H1071">
            <v>1</v>
          </cell>
          <cell r="I1071">
            <v>0</v>
          </cell>
          <cell r="J1071">
            <v>0</v>
          </cell>
          <cell r="K1071">
            <v>0</v>
          </cell>
          <cell r="M1071">
            <v>0</v>
          </cell>
          <cell r="N1071">
            <v>2</v>
          </cell>
          <cell r="P1071">
            <v>0</v>
          </cell>
          <cell r="R1071">
            <v>48.6</v>
          </cell>
        </row>
        <row r="1072">
          <cell r="C1072" t="str">
            <v>Treatment</v>
          </cell>
          <cell r="H1072">
            <v>1</v>
          </cell>
          <cell r="I1072">
            <v>1</v>
          </cell>
          <cell r="J1072">
            <v>1</v>
          </cell>
          <cell r="K1072">
            <v>0</v>
          </cell>
          <cell r="M1072">
            <v>0</v>
          </cell>
          <cell r="N1072">
            <v>0</v>
          </cell>
          <cell r="P1072">
            <v>0</v>
          </cell>
          <cell r="R1072">
            <v>72</v>
          </cell>
        </row>
        <row r="1073">
          <cell r="C1073" t="str">
            <v>Treatment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M1073">
            <v>0</v>
          </cell>
          <cell r="N1073">
            <v>0</v>
          </cell>
          <cell r="P1073">
            <v>0</v>
          </cell>
          <cell r="R1073">
            <v>72.2</v>
          </cell>
        </row>
        <row r="1074">
          <cell r="C1074" t="str">
            <v>Treatment</v>
          </cell>
          <cell r="H1074">
            <v>1</v>
          </cell>
          <cell r="I1074">
            <v>0</v>
          </cell>
          <cell r="J1074">
            <v>0</v>
          </cell>
          <cell r="K1074">
            <v>0</v>
          </cell>
          <cell r="M1074">
            <v>0</v>
          </cell>
          <cell r="N1074">
            <v>1</v>
          </cell>
          <cell r="P1074">
            <v>0</v>
          </cell>
        </row>
        <row r="1075">
          <cell r="C1075" t="str">
            <v>Treatment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M1075">
            <v>331.53</v>
          </cell>
          <cell r="N1075">
            <v>2</v>
          </cell>
          <cell r="P1075">
            <v>0</v>
          </cell>
          <cell r="Q1075">
            <v>4</v>
          </cell>
          <cell r="R1075">
            <v>56.8</v>
          </cell>
        </row>
        <row r="1076">
          <cell r="C1076" t="str">
            <v>Treatment</v>
          </cell>
          <cell r="H1076">
            <v>1</v>
          </cell>
          <cell r="I1076">
            <v>0</v>
          </cell>
          <cell r="J1076">
            <v>0</v>
          </cell>
          <cell r="K1076">
            <v>0</v>
          </cell>
          <cell r="M1076">
            <v>0</v>
          </cell>
          <cell r="N1076">
            <v>0</v>
          </cell>
          <cell r="P1076">
            <v>0</v>
          </cell>
          <cell r="R1076">
            <v>62.5</v>
          </cell>
        </row>
        <row r="1077">
          <cell r="C1077" t="str">
            <v>Treatment</v>
          </cell>
          <cell r="H1077">
            <v>1</v>
          </cell>
          <cell r="I1077">
            <v>0</v>
          </cell>
          <cell r="J1077">
            <v>0</v>
          </cell>
          <cell r="K1077">
            <v>0</v>
          </cell>
          <cell r="M1077">
            <v>0</v>
          </cell>
          <cell r="N1077">
            <v>0</v>
          </cell>
          <cell r="P1077">
            <v>0</v>
          </cell>
          <cell r="R1077">
            <v>63.4</v>
          </cell>
        </row>
        <row r="1078">
          <cell r="C1078" t="str">
            <v>Treatment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M1078">
            <v>774.78</v>
          </cell>
          <cell r="N1078">
            <v>0</v>
          </cell>
          <cell r="P1078">
            <v>0</v>
          </cell>
          <cell r="Q1078">
            <v>3</v>
          </cell>
          <cell r="R1078">
            <v>46.8</v>
          </cell>
        </row>
        <row r="1079">
          <cell r="C1079" t="str">
            <v>Treatment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M1079">
            <v>422.02</v>
          </cell>
          <cell r="N1079">
            <v>0</v>
          </cell>
          <cell r="P1079">
            <v>0</v>
          </cell>
          <cell r="Q1079">
            <v>8</v>
          </cell>
          <cell r="R1079">
            <v>86.5</v>
          </cell>
        </row>
        <row r="1080">
          <cell r="C1080" t="str">
            <v>Treatment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M1080">
            <v>0</v>
          </cell>
          <cell r="N1080">
            <v>1</v>
          </cell>
          <cell r="P1080">
            <v>0</v>
          </cell>
          <cell r="R1080">
            <v>75.099999999999994</v>
          </cell>
        </row>
        <row r="1081">
          <cell r="C1081" t="str">
            <v>Treatment</v>
          </cell>
          <cell r="H1081">
            <v>1</v>
          </cell>
          <cell r="I1081">
            <v>0</v>
          </cell>
          <cell r="J1081">
            <v>0</v>
          </cell>
          <cell r="K1081">
            <v>0</v>
          </cell>
          <cell r="M1081">
            <v>0</v>
          </cell>
          <cell r="N1081">
            <v>0</v>
          </cell>
          <cell r="P1081">
            <v>0</v>
          </cell>
          <cell r="R1081">
            <v>64.5</v>
          </cell>
        </row>
        <row r="1082">
          <cell r="C1082" t="str">
            <v>Treatment</v>
          </cell>
          <cell r="H1082">
            <v>1</v>
          </cell>
          <cell r="I1082">
            <v>0</v>
          </cell>
          <cell r="J1082">
            <v>0</v>
          </cell>
          <cell r="K1082">
            <v>0</v>
          </cell>
          <cell r="M1082">
            <v>0</v>
          </cell>
          <cell r="N1082">
            <v>0</v>
          </cell>
          <cell r="P1082">
            <v>0</v>
          </cell>
          <cell r="R1082">
            <v>54.2</v>
          </cell>
        </row>
        <row r="1083">
          <cell r="C1083" t="str">
            <v>Treatment</v>
          </cell>
          <cell r="H1083">
            <v>1</v>
          </cell>
          <cell r="I1083">
            <v>1</v>
          </cell>
          <cell r="J1083">
            <v>1</v>
          </cell>
          <cell r="K1083">
            <v>0</v>
          </cell>
          <cell r="M1083">
            <v>0</v>
          </cell>
          <cell r="N1083">
            <v>0</v>
          </cell>
          <cell r="P1083">
            <v>0</v>
          </cell>
          <cell r="R1083">
            <v>84.1</v>
          </cell>
        </row>
        <row r="1084">
          <cell r="C1084" t="str">
            <v>Treatment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M1084">
            <v>0</v>
          </cell>
          <cell r="N1084">
            <v>1</v>
          </cell>
          <cell r="P1084">
            <v>0</v>
          </cell>
          <cell r="R1084">
            <v>49.1</v>
          </cell>
        </row>
        <row r="1085">
          <cell r="C1085" t="str">
            <v>Treatment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M1085">
            <v>0</v>
          </cell>
          <cell r="N1085">
            <v>0</v>
          </cell>
          <cell r="P1085">
            <v>0</v>
          </cell>
          <cell r="R1085">
            <v>92.7</v>
          </cell>
        </row>
        <row r="1086">
          <cell r="C1086" t="str">
            <v>Treatment</v>
          </cell>
          <cell r="H1086">
            <v>1</v>
          </cell>
          <cell r="I1086">
            <v>1</v>
          </cell>
          <cell r="J1086">
            <v>1</v>
          </cell>
          <cell r="K1086">
            <v>0</v>
          </cell>
          <cell r="M1086">
            <v>0</v>
          </cell>
          <cell r="N1086">
            <v>1</v>
          </cell>
          <cell r="P1086">
            <v>0</v>
          </cell>
          <cell r="R1086">
            <v>58.7</v>
          </cell>
        </row>
        <row r="1087">
          <cell r="C1087" t="str">
            <v>Treatment</v>
          </cell>
          <cell r="H1087">
            <v>1</v>
          </cell>
          <cell r="I1087">
            <v>1</v>
          </cell>
          <cell r="J1087">
            <v>1</v>
          </cell>
          <cell r="K1087">
            <v>0</v>
          </cell>
          <cell r="M1087">
            <v>0</v>
          </cell>
          <cell r="N1087">
            <v>0</v>
          </cell>
          <cell r="P1087">
            <v>0</v>
          </cell>
          <cell r="R1087">
            <v>59.3</v>
          </cell>
        </row>
        <row r="1088">
          <cell r="C1088" t="str">
            <v>Treatment</v>
          </cell>
          <cell r="H1088">
            <v>1</v>
          </cell>
          <cell r="I1088">
            <v>0</v>
          </cell>
          <cell r="J1088">
            <v>0</v>
          </cell>
          <cell r="K1088">
            <v>0</v>
          </cell>
          <cell r="M1088">
            <v>0</v>
          </cell>
          <cell r="N1088">
            <v>0</v>
          </cell>
          <cell r="P1088">
            <v>0</v>
          </cell>
          <cell r="R1088">
            <v>62</v>
          </cell>
        </row>
        <row r="1089">
          <cell r="C1089" t="str">
            <v>Treatment</v>
          </cell>
          <cell r="H1089">
            <v>1</v>
          </cell>
          <cell r="I1089">
            <v>1</v>
          </cell>
          <cell r="J1089">
            <v>1</v>
          </cell>
          <cell r="K1089">
            <v>0</v>
          </cell>
          <cell r="M1089">
            <v>0</v>
          </cell>
          <cell r="N1089">
            <v>1</v>
          </cell>
          <cell r="P1089">
            <v>0</v>
          </cell>
          <cell r="R1089">
            <v>60.3</v>
          </cell>
        </row>
        <row r="1090">
          <cell r="C1090" t="str">
            <v>Treatment</v>
          </cell>
          <cell r="H1090">
            <v>1</v>
          </cell>
          <cell r="I1090">
            <v>0</v>
          </cell>
          <cell r="J1090">
            <v>0</v>
          </cell>
          <cell r="K1090">
            <v>0</v>
          </cell>
          <cell r="M1090">
            <v>0</v>
          </cell>
          <cell r="N1090">
            <v>0</v>
          </cell>
          <cell r="P1090">
            <v>0</v>
          </cell>
          <cell r="R1090">
            <v>70.5</v>
          </cell>
        </row>
        <row r="1091">
          <cell r="C1091" t="str">
            <v>Treatment</v>
          </cell>
          <cell r="H1091">
            <v>1</v>
          </cell>
          <cell r="I1091">
            <v>0</v>
          </cell>
          <cell r="J1091">
            <v>0</v>
          </cell>
          <cell r="K1091">
            <v>0</v>
          </cell>
          <cell r="M1091">
            <v>0</v>
          </cell>
          <cell r="N1091">
            <v>0</v>
          </cell>
          <cell r="P1091">
            <v>0</v>
          </cell>
          <cell r="R1091">
            <v>36.799999999999997</v>
          </cell>
        </row>
        <row r="1092">
          <cell r="C1092" t="str">
            <v>Treatment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M1092">
            <v>0</v>
          </cell>
          <cell r="N1092">
            <v>1</v>
          </cell>
          <cell r="P1092">
            <v>0</v>
          </cell>
          <cell r="R1092">
            <v>73.2</v>
          </cell>
        </row>
        <row r="1093">
          <cell r="C1093" t="str">
            <v>Treatment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M1093">
            <v>0</v>
          </cell>
          <cell r="N1093">
            <v>0</v>
          </cell>
          <cell r="P1093">
            <v>0</v>
          </cell>
          <cell r="R1093">
            <v>70.099999999999994</v>
          </cell>
        </row>
        <row r="1094">
          <cell r="C1094" t="str">
            <v>Treatment</v>
          </cell>
          <cell r="H1094">
            <v>1</v>
          </cell>
          <cell r="I1094">
            <v>0</v>
          </cell>
          <cell r="J1094">
            <v>0</v>
          </cell>
          <cell r="K1094">
            <v>0</v>
          </cell>
          <cell r="M1094">
            <v>0</v>
          </cell>
          <cell r="N1094">
            <v>0</v>
          </cell>
          <cell r="P1094">
            <v>0</v>
          </cell>
          <cell r="R1094">
            <v>76.400000000000006</v>
          </cell>
        </row>
        <row r="1095">
          <cell r="C1095" t="str">
            <v>Treatment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M1095">
            <v>0</v>
          </cell>
          <cell r="N1095">
            <v>0</v>
          </cell>
          <cell r="P1095">
            <v>0</v>
          </cell>
          <cell r="R1095">
            <v>46.4</v>
          </cell>
        </row>
        <row r="1096">
          <cell r="C1096" t="str">
            <v>Treatment</v>
          </cell>
          <cell r="H1096">
            <v>1</v>
          </cell>
          <cell r="I1096">
            <v>1</v>
          </cell>
          <cell r="J1096">
            <v>1</v>
          </cell>
          <cell r="K1096">
            <v>0</v>
          </cell>
          <cell r="M1096">
            <v>0</v>
          </cell>
          <cell r="N1096">
            <v>1</v>
          </cell>
          <cell r="P1096">
            <v>0</v>
          </cell>
          <cell r="R1096">
            <v>81.3</v>
          </cell>
        </row>
        <row r="1097">
          <cell r="C1097" t="str">
            <v>Treatment</v>
          </cell>
          <cell r="H1097">
            <v>1</v>
          </cell>
          <cell r="I1097">
            <v>1</v>
          </cell>
          <cell r="J1097">
            <v>1</v>
          </cell>
          <cell r="K1097">
            <v>0</v>
          </cell>
          <cell r="M1097">
            <v>0</v>
          </cell>
          <cell r="N1097">
            <v>0</v>
          </cell>
          <cell r="P1097">
            <v>0</v>
          </cell>
          <cell r="R1097">
            <v>55.3</v>
          </cell>
        </row>
        <row r="1098">
          <cell r="C1098" t="str">
            <v>Treatment</v>
          </cell>
          <cell r="H1098">
            <v>1</v>
          </cell>
          <cell r="I1098">
            <v>0</v>
          </cell>
          <cell r="J1098">
            <v>0</v>
          </cell>
          <cell r="K1098">
            <v>0</v>
          </cell>
          <cell r="M1098">
            <v>0</v>
          </cell>
          <cell r="N1098">
            <v>0</v>
          </cell>
          <cell r="P1098">
            <v>0</v>
          </cell>
          <cell r="R1098">
            <v>44.7</v>
          </cell>
        </row>
        <row r="1099">
          <cell r="C1099" t="str">
            <v>Treatment</v>
          </cell>
          <cell r="H1099">
            <v>1</v>
          </cell>
          <cell r="I1099">
            <v>0</v>
          </cell>
          <cell r="J1099">
            <v>0</v>
          </cell>
          <cell r="K1099">
            <v>0</v>
          </cell>
          <cell r="M1099">
            <v>0</v>
          </cell>
          <cell r="N1099">
            <v>0</v>
          </cell>
          <cell r="P1099">
            <v>0</v>
          </cell>
          <cell r="R1099">
            <v>67.2</v>
          </cell>
        </row>
        <row r="1100">
          <cell r="C1100" t="str">
            <v>Treatment</v>
          </cell>
          <cell r="H1100">
            <v>1</v>
          </cell>
          <cell r="I1100">
            <v>0</v>
          </cell>
          <cell r="J1100">
            <v>0</v>
          </cell>
          <cell r="K1100">
            <v>0</v>
          </cell>
          <cell r="M1100">
            <v>0</v>
          </cell>
          <cell r="N1100">
            <v>0</v>
          </cell>
          <cell r="P1100">
            <v>0</v>
          </cell>
        </row>
        <row r="1101">
          <cell r="C1101" t="str">
            <v>Treatment</v>
          </cell>
          <cell r="H1101">
            <v>1</v>
          </cell>
          <cell r="I1101">
            <v>1</v>
          </cell>
          <cell r="J1101">
            <v>1</v>
          </cell>
          <cell r="K1101">
            <v>0</v>
          </cell>
          <cell r="M1101">
            <v>0</v>
          </cell>
          <cell r="N1101">
            <v>1</v>
          </cell>
          <cell r="P1101">
            <v>0</v>
          </cell>
          <cell r="R1101">
            <v>70.8</v>
          </cell>
        </row>
        <row r="1102">
          <cell r="C1102" t="str">
            <v>Treatment</v>
          </cell>
          <cell r="H1102">
            <v>1</v>
          </cell>
          <cell r="I1102">
            <v>0</v>
          </cell>
          <cell r="J1102">
            <v>0</v>
          </cell>
          <cell r="K1102">
            <v>0</v>
          </cell>
          <cell r="M1102">
            <v>0</v>
          </cell>
          <cell r="N1102">
            <v>0</v>
          </cell>
          <cell r="P1102">
            <v>0</v>
          </cell>
          <cell r="R1102">
            <v>71.3</v>
          </cell>
        </row>
        <row r="1103">
          <cell r="C1103" t="str">
            <v>Treatment</v>
          </cell>
          <cell r="H1103">
            <v>1</v>
          </cell>
          <cell r="I1103">
            <v>1</v>
          </cell>
          <cell r="J1103">
            <v>1</v>
          </cell>
          <cell r="K1103">
            <v>0</v>
          </cell>
          <cell r="M1103">
            <v>0</v>
          </cell>
          <cell r="N1103">
            <v>0</v>
          </cell>
          <cell r="P1103">
            <v>0</v>
          </cell>
          <cell r="R1103">
            <v>69.400000000000006</v>
          </cell>
        </row>
        <row r="1104">
          <cell r="C1104" t="str">
            <v>Treatment</v>
          </cell>
          <cell r="H1104">
            <v>1</v>
          </cell>
          <cell r="I1104">
            <v>1</v>
          </cell>
          <cell r="J1104">
            <v>0</v>
          </cell>
          <cell r="K1104">
            <v>0</v>
          </cell>
          <cell r="M1104">
            <v>0</v>
          </cell>
          <cell r="N1104">
            <v>0</v>
          </cell>
          <cell r="P1104">
            <v>0</v>
          </cell>
          <cell r="R1104">
            <v>58.9</v>
          </cell>
        </row>
        <row r="1105">
          <cell r="C1105" t="str">
            <v>Treatment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M1105">
            <v>0</v>
          </cell>
          <cell r="N1105">
            <v>0</v>
          </cell>
          <cell r="P1105">
            <v>0</v>
          </cell>
          <cell r="R1105">
            <v>70.7</v>
          </cell>
        </row>
        <row r="1106">
          <cell r="C1106" t="str">
            <v>Treatment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M1106">
            <v>0</v>
          </cell>
          <cell r="N1106">
            <v>0</v>
          </cell>
          <cell r="P1106">
            <v>0</v>
          </cell>
          <cell r="R1106">
            <v>60.5</v>
          </cell>
        </row>
        <row r="1107">
          <cell r="C1107" t="str">
            <v>Treatment</v>
          </cell>
          <cell r="H1107">
            <v>1</v>
          </cell>
          <cell r="I1107">
            <v>1</v>
          </cell>
          <cell r="J1107">
            <v>1</v>
          </cell>
          <cell r="K1107">
            <v>0</v>
          </cell>
          <cell r="M1107">
            <v>0</v>
          </cell>
          <cell r="N1107">
            <v>0</v>
          </cell>
          <cell r="P1107">
            <v>0</v>
          </cell>
          <cell r="R1107">
            <v>77.3</v>
          </cell>
        </row>
        <row r="1108">
          <cell r="C1108" t="str">
            <v>Treatment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M1108">
            <v>0</v>
          </cell>
          <cell r="N1108">
            <v>1</v>
          </cell>
          <cell r="P1108">
            <v>0</v>
          </cell>
          <cell r="R1108">
            <v>39.5</v>
          </cell>
        </row>
        <row r="1109">
          <cell r="C1109" t="str">
            <v>Treatment</v>
          </cell>
          <cell r="H1109">
            <v>1</v>
          </cell>
          <cell r="I1109">
            <v>0</v>
          </cell>
          <cell r="J1109">
            <v>0</v>
          </cell>
          <cell r="K1109">
            <v>0</v>
          </cell>
          <cell r="M1109">
            <v>0</v>
          </cell>
          <cell r="N1109">
            <v>0</v>
          </cell>
          <cell r="P1109">
            <v>0</v>
          </cell>
          <cell r="R1109">
            <v>68.099999999999994</v>
          </cell>
        </row>
        <row r="1110">
          <cell r="C1110" t="str">
            <v>Treatment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M1110">
            <v>0</v>
          </cell>
          <cell r="N1110">
            <v>0</v>
          </cell>
          <cell r="P1110">
            <v>0</v>
          </cell>
          <cell r="R1110">
            <v>80.3</v>
          </cell>
        </row>
        <row r="1111">
          <cell r="C1111" t="str">
            <v>Treatment</v>
          </cell>
          <cell r="H1111">
            <v>1</v>
          </cell>
          <cell r="I1111">
            <v>0</v>
          </cell>
          <cell r="J1111">
            <v>0</v>
          </cell>
          <cell r="K1111">
            <v>0</v>
          </cell>
          <cell r="M1111">
            <v>0</v>
          </cell>
          <cell r="N1111">
            <v>0</v>
          </cell>
          <cell r="P1111">
            <v>0</v>
          </cell>
          <cell r="R1111">
            <v>77.7</v>
          </cell>
        </row>
        <row r="1112">
          <cell r="C1112" t="str">
            <v>Treatment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M1112">
            <v>0</v>
          </cell>
          <cell r="N1112">
            <v>1</v>
          </cell>
          <cell r="P1112">
            <v>0</v>
          </cell>
          <cell r="R1112">
            <v>66.2</v>
          </cell>
        </row>
        <row r="1113">
          <cell r="C1113" t="str">
            <v>Treatment</v>
          </cell>
          <cell r="H1113">
            <v>1</v>
          </cell>
          <cell r="I1113">
            <v>1</v>
          </cell>
          <cell r="J1113">
            <v>1</v>
          </cell>
          <cell r="K1113">
            <v>0</v>
          </cell>
          <cell r="M1113">
            <v>0</v>
          </cell>
          <cell r="N1113">
            <v>1</v>
          </cell>
          <cell r="P1113">
            <v>0</v>
          </cell>
          <cell r="R1113">
            <v>43.9</v>
          </cell>
        </row>
        <row r="1114">
          <cell r="C1114" t="str">
            <v>Treatment</v>
          </cell>
          <cell r="H1114">
            <v>1</v>
          </cell>
          <cell r="I1114">
            <v>1</v>
          </cell>
          <cell r="J1114">
            <v>1</v>
          </cell>
          <cell r="K1114">
            <v>0</v>
          </cell>
          <cell r="M1114">
            <v>0</v>
          </cell>
          <cell r="N1114">
            <v>2</v>
          </cell>
          <cell r="P1114">
            <v>0</v>
          </cell>
          <cell r="R1114">
            <v>59.1</v>
          </cell>
        </row>
        <row r="1115">
          <cell r="C1115" t="str">
            <v>Treatment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M1115">
            <v>416.94</v>
          </cell>
          <cell r="N1115">
            <v>1</v>
          </cell>
          <cell r="P1115">
            <v>0</v>
          </cell>
          <cell r="Q1115">
            <v>11</v>
          </cell>
          <cell r="R1115">
            <v>67</v>
          </cell>
        </row>
        <row r="1116">
          <cell r="C1116" t="str">
            <v>Treatment</v>
          </cell>
          <cell r="H1116">
            <v>1</v>
          </cell>
          <cell r="I1116">
            <v>0</v>
          </cell>
          <cell r="J1116">
            <v>0</v>
          </cell>
          <cell r="K1116">
            <v>0</v>
          </cell>
          <cell r="M1116">
            <v>0</v>
          </cell>
          <cell r="N1116">
            <v>0</v>
          </cell>
          <cell r="P1116">
            <v>0</v>
          </cell>
          <cell r="R1116">
            <v>47.9</v>
          </cell>
        </row>
        <row r="1117">
          <cell r="C1117" t="str">
            <v>Treatment</v>
          </cell>
          <cell r="H1117">
            <v>1</v>
          </cell>
          <cell r="I1117">
            <v>1</v>
          </cell>
          <cell r="J1117">
            <v>0</v>
          </cell>
          <cell r="K1117">
            <v>0</v>
          </cell>
          <cell r="M1117">
            <v>0</v>
          </cell>
          <cell r="N1117">
            <v>0</v>
          </cell>
          <cell r="P1117">
            <v>0</v>
          </cell>
          <cell r="R1117">
            <v>41.5</v>
          </cell>
        </row>
        <row r="1118">
          <cell r="C1118" t="str">
            <v>Treatment</v>
          </cell>
          <cell r="H1118">
            <v>1</v>
          </cell>
          <cell r="I1118">
            <v>1</v>
          </cell>
          <cell r="J1118">
            <v>1</v>
          </cell>
          <cell r="K1118">
            <v>0</v>
          </cell>
          <cell r="M1118">
            <v>0</v>
          </cell>
          <cell r="N1118">
            <v>3</v>
          </cell>
          <cell r="P1118">
            <v>0</v>
          </cell>
          <cell r="R1118">
            <v>30.6</v>
          </cell>
        </row>
        <row r="1119">
          <cell r="C1119" t="str">
            <v>Treatment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M1119">
            <v>0</v>
          </cell>
          <cell r="N1119">
            <v>0</v>
          </cell>
          <cell r="P1119">
            <v>0</v>
          </cell>
          <cell r="R1119">
            <v>91.5</v>
          </cell>
        </row>
        <row r="1120">
          <cell r="C1120" t="str">
            <v>Treatment</v>
          </cell>
          <cell r="H1120">
            <v>1</v>
          </cell>
          <cell r="I1120">
            <v>0</v>
          </cell>
          <cell r="J1120">
            <v>0</v>
          </cell>
          <cell r="K1120">
            <v>0</v>
          </cell>
          <cell r="M1120">
            <v>0</v>
          </cell>
          <cell r="N1120">
            <v>0</v>
          </cell>
          <cell r="P1120">
            <v>0</v>
          </cell>
          <cell r="R1120">
            <v>80.8</v>
          </cell>
        </row>
        <row r="1121">
          <cell r="C1121" t="str">
            <v>Treatment</v>
          </cell>
          <cell r="H1121">
            <v>1</v>
          </cell>
          <cell r="I1121">
            <v>0</v>
          </cell>
          <cell r="J1121">
            <v>0</v>
          </cell>
          <cell r="K1121">
            <v>0</v>
          </cell>
          <cell r="M1121">
            <v>0</v>
          </cell>
          <cell r="N1121">
            <v>0</v>
          </cell>
          <cell r="P1121">
            <v>0</v>
          </cell>
          <cell r="R1121">
            <v>68.099999999999994</v>
          </cell>
        </row>
        <row r="1122">
          <cell r="C1122" t="str">
            <v>Treatment</v>
          </cell>
          <cell r="H1122">
            <v>1</v>
          </cell>
          <cell r="I1122">
            <v>0</v>
          </cell>
          <cell r="J1122">
            <v>0</v>
          </cell>
          <cell r="K1122">
            <v>0</v>
          </cell>
          <cell r="M1122">
            <v>0</v>
          </cell>
          <cell r="N1122">
            <v>0</v>
          </cell>
          <cell r="P1122">
            <v>0</v>
          </cell>
          <cell r="R1122">
            <v>80.3</v>
          </cell>
        </row>
        <row r="1123">
          <cell r="C1123" t="str">
            <v>Treatment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M1123">
            <v>0</v>
          </cell>
          <cell r="N1123">
            <v>0</v>
          </cell>
          <cell r="P1123">
            <v>0</v>
          </cell>
          <cell r="R1123">
            <v>44.4</v>
          </cell>
        </row>
        <row r="1124">
          <cell r="C1124" t="str">
            <v>Treatment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M1124">
            <v>0</v>
          </cell>
          <cell r="N1124">
            <v>0</v>
          </cell>
          <cell r="P1124">
            <v>0</v>
          </cell>
          <cell r="R1124">
            <v>51.9</v>
          </cell>
        </row>
        <row r="1125">
          <cell r="C1125" t="str">
            <v>Treatment</v>
          </cell>
          <cell r="H1125">
            <v>1</v>
          </cell>
          <cell r="I1125">
            <v>1</v>
          </cell>
          <cell r="J1125">
            <v>0</v>
          </cell>
          <cell r="K1125">
            <v>0</v>
          </cell>
          <cell r="M1125">
            <v>0</v>
          </cell>
          <cell r="N1125">
            <v>0</v>
          </cell>
          <cell r="P1125">
            <v>0</v>
          </cell>
          <cell r="R1125">
            <v>49.8</v>
          </cell>
        </row>
        <row r="1126">
          <cell r="C1126" t="str">
            <v>Treatment</v>
          </cell>
          <cell r="H1126">
            <v>1</v>
          </cell>
          <cell r="I1126">
            <v>1</v>
          </cell>
          <cell r="J1126">
            <v>1</v>
          </cell>
          <cell r="K1126">
            <v>0</v>
          </cell>
          <cell r="M1126">
            <v>0</v>
          </cell>
          <cell r="N1126">
            <v>3</v>
          </cell>
          <cell r="P1126">
            <v>0</v>
          </cell>
          <cell r="R1126">
            <v>62.1</v>
          </cell>
        </row>
        <row r="1127">
          <cell r="C1127" t="str">
            <v>Treatment</v>
          </cell>
          <cell r="H1127">
            <v>1</v>
          </cell>
          <cell r="I1127">
            <v>0</v>
          </cell>
          <cell r="J1127">
            <v>0</v>
          </cell>
          <cell r="K1127">
            <v>0</v>
          </cell>
          <cell r="M1127">
            <v>0</v>
          </cell>
          <cell r="N1127">
            <v>0</v>
          </cell>
          <cell r="P1127">
            <v>0</v>
          </cell>
          <cell r="R1127">
            <v>91.3</v>
          </cell>
        </row>
        <row r="1128">
          <cell r="C1128" t="str">
            <v>Treatment</v>
          </cell>
          <cell r="H1128">
            <v>1</v>
          </cell>
          <cell r="I1128">
            <v>0</v>
          </cell>
          <cell r="J1128">
            <v>0</v>
          </cell>
          <cell r="K1128">
            <v>0</v>
          </cell>
          <cell r="M1128">
            <v>0</v>
          </cell>
          <cell r="N1128">
            <v>0</v>
          </cell>
          <cell r="P1128">
            <v>0</v>
          </cell>
          <cell r="R1128">
            <v>66.400000000000006</v>
          </cell>
        </row>
        <row r="1129">
          <cell r="C1129" t="str">
            <v>Treatment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M1129">
            <v>0</v>
          </cell>
          <cell r="N1129">
            <v>0</v>
          </cell>
          <cell r="P1129">
            <v>0</v>
          </cell>
          <cell r="R1129">
            <v>41.5</v>
          </cell>
        </row>
        <row r="1130">
          <cell r="C1130" t="str">
            <v>Treatment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M1130">
            <v>0</v>
          </cell>
          <cell r="N1130">
            <v>0</v>
          </cell>
          <cell r="P1130">
            <v>0</v>
          </cell>
          <cell r="R1130">
            <v>77.099999999999994</v>
          </cell>
        </row>
        <row r="1131">
          <cell r="C1131" t="str">
            <v>Treatment</v>
          </cell>
          <cell r="H1131">
            <v>1</v>
          </cell>
          <cell r="I1131">
            <v>0</v>
          </cell>
          <cell r="J1131">
            <v>0</v>
          </cell>
          <cell r="K1131">
            <v>0</v>
          </cell>
          <cell r="M1131">
            <v>0</v>
          </cell>
          <cell r="N1131">
            <v>0</v>
          </cell>
          <cell r="P1131">
            <v>0</v>
          </cell>
          <cell r="R1131">
            <v>63.2</v>
          </cell>
        </row>
        <row r="1132">
          <cell r="C1132" t="str">
            <v>Treatment</v>
          </cell>
          <cell r="H1132">
            <v>1</v>
          </cell>
          <cell r="I1132">
            <v>1</v>
          </cell>
          <cell r="J1132">
            <v>1</v>
          </cell>
          <cell r="K1132">
            <v>0</v>
          </cell>
          <cell r="M1132">
            <v>0</v>
          </cell>
          <cell r="N1132">
            <v>3</v>
          </cell>
          <cell r="P1132">
            <v>0</v>
          </cell>
          <cell r="R1132">
            <v>75.7</v>
          </cell>
        </row>
        <row r="1133">
          <cell r="C1133" t="str">
            <v>Treatment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M1133">
            <v>0</v>
          </cell>
          <cell r="N1133">
            <v>0</v>
          </cell>
          <cell r="P1133">
            <v>0</v>
          </cell>
          <cell r="R1133">
            <v>62.9</v>
          </cell>
        </row>
        <row r="1134">
          <cell r="C1134" t="str">
            <v>Treatment</v>
          </cell>
          <cell r="H1134">
            <v>1</v>
          </cell>
          <cell r="I1134">
            <v>0</v>
          </cell>
          <cell r="J1134">
            <v>0</v>
          </cell>
          <cell r="K1134">
            <v>0</v>
          </cell>
          <cell r="M1134">
            <v>0</v>
          </cell>
          <cell r="N1134">
            <v>3</v>
          </cell>
          <cell r="P1134">
            <v>0</v>
          </cell>
          <cell r="R1134">
            <v>64.599999999999994</v>
          </cell>
        </row>
        <row r="1135">
          <cell r="C1135" t="str">
            <v>Treatment</v>
          </cell>
          <cell r="H1135">
            <v>1</v>
          </cell>
          <cell r="I1135">
            <v>0</v>
          </cell>
          <cell r="J1135">
            <v>0</v>
          </cell>
          <cell r="K1135">
            <v>0</v>
          </cell>
          <cell r="M1135">
            <v>0</v>
          </cell>
          <cell r="N1135">
            <v>0</v>
          </cell>
          <cell r="P1135">
            <v>0</v>
          </cell>
          <cell r="R1135">
            <v>76.599999999999994</v>
          </cell>
        </row>
        <row r="1136">
          <cell r="C1136" t="str">
            <v>Treatment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M1136">
            <v>0</v>
          </cell>
          <cell r="N1136">
            <v>0</v>
          </cell>
          <cell r="P1136">
            <v>0</v>
          </cell>
          <cell r="R1136">
            <v>74.8</v>
          </cell>
        </row>
        <row r="1137">
          <cell r="C1137" t="str">
            <v>Treatment</v>
          </cell>
          <cell r="H1137">
            <v>1</v>
          </cell>
          <cell r="I1137">
            <v>0</v>
          </cell>
          <cell r="J1137">
            <v>0</v>
          </cell>
          <cell r="K1137">
            <v>0</v>
          </cell>
          <cell r="M1137">
            <v>0</v>
          </cell>
          <cell r="N1137">
            <v>2</v>
          </cell>
          <cell r="P1137">
            <v>0</v>
          </cell>
          <cell r="R1137">
            <v>38.1</v>
          </cell>
        </row>
        <row r="1138">
          <cell r="C1138" t="str">
            <v>Treatment</v>
          </cell>
          <cell r="H1138">
            <v>1</v>
          </cell>
          <cell r="I1138">
            <v>1</v>
          </cell>
          <cell r="J1138">
            <v>0</v>
          </cell>
          <cell r="K1138">
            <v>0</v>
          </cell>
          <cell r="M1138">
            <v>0</v>
          </cell>
          <cell r="N1138">
            <v>0</v>
          </cell>
          <cell r="P1138">
            <v>0</v>
          </cell>
          <cell r="R1138">
            <v>60.2</v>
          </cell>
        </row>
        <row r="1139">
          <cell r="C1139" t="str">
            <v>Treatment</v>
          </cell>
          <cell r="H1139">
            <v>1</v>
          </cell>
          <cell r="I1139">
            <v>1</v>
          </cell>
          <cell r="J1139">
            <v>0</v>
          </cell>
          <cell r="K1139">
            <v>0</v>
          </cell>
          <cell r="M1139">
            <v>0</v>
          </cell>
          <cell r="N1139">
            <v>0</v>
          </cell>
          <cell r="P1139">
            <v>0</v>
          </cell>
          <cell r="R1139">
            <v>73.5</v>
          </cell>
        </row>
        <row r="1140">
          <cell r="C1140" t="str">
            <v>Treatment</v>
          </cell>
          <cell r="H1140">
            <v>1</v>
          </cell>
          <cell r="I1140">
            <v>0</v>
          </cell>
          <cell r="J1140">
            <v>0</v>
          </cell>
          <cell r="K1140">
            <v>0</v>
          </cell>
          <cell r="M1140">
            <v>0</v>
          </cell>
          <cell r="N1140">
            <v>0</v>
          </cell>
          <cell r="P1140">
            <v>0</v>
          </cell>
          <cell r="R1140">
            <v>70.900000000000006</v>
          </cell>
        </row>
        <row r="1141">
          <cell r="C1141" t="str">
            <v>Treatment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M1141">
            <v>0</v>
          </cell>
          <cell r="N1141">
            <v>0</v>
          </cell>
          <cell r="P1141">
            <v>0</v>
          </cell>
          <cell r="R1141">
            <v>63.7</v>
          </cell>
        </row>
        <row r="1142">
          <cell r="C1142" t="str">
            <v>Treatment</v>
          </cell>
          <cell r="H1142">
            <v>1</v>
          </cell>
          <cell r="I1142">
            <v>0</v>
          </cell>
          <cell r="J1142">
            <v>0</v>
          </cell>
          <cell r="K1142">
            <v>0</v>
          </cell>
          <cell r="M1142">
            <v>0</v>
          </cell>
          <cell r="N1142">
            <v>0</v>
          </cell>
          <cell r="P1142">
            <v>0</v>
          </cell>
          <cell r="R1142">
            <v>86.5</v>
          </cell>
        </row>
        <row r="1143">
          <cell r="C1143" t="str">
            <v>Treatment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M1143">
            <v>921.72</v>
          </cell>
          <cell r="N1143">
            <v>3</v>
          </cell>
          <cell r="P1143">
            <v>0</v>
          </cell>
          <cell r="Q1143">
            <v>7</v>
          </cell>
          <cell r="R1143">
            <v>74.599999999999994</v>
          </cell>
        </row>
        <row r="1144">
          <cell r="C1144" t="str">
            <v>Treatment</v>
          </cell>
          <cell r="H1144">
            <v>1</v>
          </cell>
          <cell r="I1144">
            <v>0</v>
          </cell>
          <cell r="J1144">
            <v>0</v>
          </cell>
          <cell r="K1144">
            <v>0</v>
          </cell>
          <cell r="M1144">
            <v>0</v>
          </cell>
          <cell r="N1144">
            <v>0</v>
          </cell>
          <cell r="P1144">
            <v>0</v>
          </cell>
          <cell r="R1144">
            <v>46.6</v>
          </cell>
        </row>
        <row r="1145">
          <cell r="C1145" t="str">
            <v>Treatment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M1145">
            <v>0</v>
          </cell>
          <cell r="N1145">
            <v>0</v>
          </cell>
          <cell r="P1145">
            <v>0</v>
          </cell>
          <cell r="R1145">
            <v>61.2</v>
          </cell>
        </row>
        <row r="1146">
          <cell r="C1146" t="str">
            <v>Treatment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M1146">
            <v>290.39</v>
          </cell>
          <cell r="N1146">
            <v>0</v>
          </cell>
          <cell r="P1146">
            <v>0</v>
          </cell>
          <cell r="Q1146">
            <v>4</v>
          </cell>
          <cell r="R1146">
            <v>54.4</v>
          </cell>
        </row>
        <row r="1147">
          <cell r="C1147" t="str">
            <v>Treatment</v>
          </cell>
          <cell r="H1147">
            <v>1</v>
          </cell>
          <cell r="I1147">
            <v>1</v>
          </cell>
          <cell r="J1147">
            <v>1</v>
          </cell>
          <cell r="K1147">
            <v>0</v>
          </cell>
          <cell r="M1147">
            <v>0</v>
          </cell>
          <cell r="N1147">
            <v>0</v>
          </cell>
          <cell r="P1147">
            <v>0</v>
          </cell>
          <cell r="R1147">
            <v>72</v>
          </cell>
        </row>
        <row r="1148">
          <cell r="C1148" t="str">
            <v>Treatment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M1148">
            <v>1496.19</v>
          </cell>
          <cell r="N1148">
            <v>0</v>
          </cell>
          <cell r="P1148">
            <v>0</v>
          </cell>
          <cell r="Q1148">
            <v>8</v>
          </cell>
          <cell r="R1148">
            <v>88.6</v>
          </cell>
        </row>
        <row r="1149">
          <cell r="C1149" t="str">
            <v>Treatment</v>
          </cell>
          <cell r="H1149">
            <v>1</v>
          </cell>
          <cell r="I1149">
            <v>0</v>
          </cell>
          <cell r="J1149">
            <v>0</v>
          </cell>
          <cell r="K1149">
            <v>0</v>
          </cell>
          <cell r="M1149">
            <v>0</v>
          </cell>
          <cell r="N1149">
            <v>0</v>
          </cell>
          <cell r="P1149">
            <v>0</v>
          </cell>
          <cell r="R1149">
            <v>77.599999999999994</v>
          </cell>
        </row>
        <row r="1150">
          <cell r="C1150" t="str">
            <v>Treatment</v>
          </cell>
          <cell r="H1150">
            <v>1</v>
          </cell>
          <cell r="I1150">
            <v>0</v>
          </cell>
          <cell r="J1150">
            <v>0</v>
          </cell>
          <cell r="K1150">
            <v>0</v>
          </cell>
          <cell r="M1150">
            <v>0</v>
          </cell>
          <cell r="N1150">
            <v>1</v>
          </cell>
          <cell r="P1150">
            <v>0</v>
          </cell>
          <cell r="R1150">
            <v>44.3</v>
          </cell>
        </row>
        <row r="1151">
          <cell r="C1151" t="str">
            <v>Treatment</v>
          </cell>
          <cell r="H1151">
            <v>1</v>
          </cell>
          <cell r="I1151">
            <v>1</v>
          </cell>
          <cell r="J1151">
            <v>0</v>
          </cell>
          <cell r="K1151">
            <v>0</v>
          </cell>
          <cell r="M1151">
            <v>0</v>
          </cell>
          <cell r="N1151">
            <v>0</v>
          </cell>
          <cell r="P1151">
            <v>0</v>
          </cell>
          <cell r="R1151">
            <v>49</v>
          </cell>
        </row>
        <row r="1152">
          <cell r="C1152" t="str">
            <v>Treatment</v>
          </cell>
          <cell r="H1152">
            <v>1</v>
          </cell>
          <cell r="I1152">
            <v>0</v>
          </cell>
          <cell r="J1152">
            <v>0</v>
          </cell>
          <cell r="K1152">
            <v>0</v>
          </cell>
          <cell r="M1152">
            <v>0</v>
          </cell>
          <cell r="N1152">
            <v>0</v>
          </cell>
          <cell r="P1152">
            <v>0</v>
          </cell>
          <cell r="R1152">
            <v>53.9</v>
          </cell>
        </row>
        <row r="1153">
          <cell r="C1153" t="str">
            <v>Treatment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M1153">
            <v>0</v>
          </cell>
          <cell r="N1153">
            <v>1</v>
          </cell>
          <cell r="P1153">
            <v>0</v>
          </cell>
          <cell r="R1153">
            <v>69</v>
          </cell>
        </row>
        <row r="1154">
          <cell r="C1154" t="str">
            <v>Treatment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M1154">
            <v>0</v>
          </cell>
          <cell r="N1154">
            <v>0</v>
          </cell>
          <cell r="P1154">
            <v>0</v>
          </cell>
          <cell r="R1154">
            <v>37.4</v>
          </cell>
        </row>
        <row r="1155">
          <cell r="C1155" t="str">
            <v>Treatment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M1155">
            <v>0</v>
          </cell>
          <cell r="N1155">
            <v>0</v>
          </cell>
          <cell r="P1155">
            <v>0</v>
          </cell>
          <cell r="R1155">
            <v>59</v>
          </cell>
        </row>
        <row r="1156">
          <cell r="C1156" t="str">
            <v>Treatment</v>
          </cell>
          <cell r="H1156">
            <v>1</v>
          </cell>
          <cell r="I1156">
            <v>0</v>
          </cell>
          <cell r="J1156">
            <v>0</v>
          </cell>
          <cell r="K1156">
            <v>0</v>
          </cell>
          <cell r="M1156">
            <v>0</v>
          </cell>
          <cell r="N1156">
            <v>0</v>
          </cell>
          <cell r="P1156">
            <v>0</v>
          </cell>
          <cell r="R1156">
            <v>60.8</v>
          </cell>
        </row>
        <row r="1157">
          <cell r="C1157" t="str">
            <v>Treatment</v>
          </cell>
          <cell r="H1157">
            <v>1</v>
          </cell>
          <cell r="I1157">
            <v>0</v>
          </cell>
          <cell r="J1157">
            <v>0</v>
          </cell>
          <cell r="K1157">
            <v>0</v>
          </cell>
          <cell r="M1157">
            <v>0</v>
          </cell>
          <cell r="N1157">
            <v>0</v>
          </cell>
          <cell r="P1157">
            <v>0</v>
          </cell>
          <cell r="R1157">
            <v>57.5</v>
          </cell>
        </row>
        <row r="1158">
          <cell r="C1158" t="str">
            <v>Treatment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M1158">
            <v>0</v>
          </cell>
          <cell r="N1158">
            <v>0</v>
          </cell>
          <cell r="P1158">
            <v>0</v>
          </cell>
          <cell r="R1158">
            <v>84.2</v>
          </cell>
        </row>
        <row r="1159">
          <cell r="C1159" t="str">
            <v>Treatment</v>
          </cell>
          <cell r="H1159">
            <v>1</v>
          </cell>
          <cell r="I1159">
            <v>1</v>
          </cell>
          <cell r="J1159">
            <v>0</v>
          </cell>
          <cell r="K1159">
            <v>0</v>
          </cell>
          <cell r="M1159">
            <v>0</v>
          </cell>
          <cell r="N1159">
            <v>0</v>
          </cell>
          <cell r="P1159">
            <v>0</v>
          </cell>
          <cell r="R1159">
            <v>27.4</v>
          </cell>
        </row>
        <row r="1160">
          <cell r="C1160" t="str">
            <v>Treatment</v>
          </cell>
          <cell r="H1160">
            <v>1</v>
          </cell>
          <cell r="I1160">
            <v>0</v>
          </cell>
          <cell r="J1160">
            <v>0</v>
          </cell>
          <cell r="K1160">
            <v>0</v>
          </cell>
          <cell r="M1160">
            <v>0</v>
          </cell>
          <cell r="N1160">
            <v>1</v>
          </cell>
          <cell r="P1160">
            <v>0</v>
          </cell>
          <cell r="R1160">
            <v>67.599999999999994</v>
          </cell>
        </row>
        <row r="1161">
          <cell r="C1161" t="str">
            <v>Treatment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M1161">
            <v>0</v>
          </cell>
          <cell r="N1161">
            <v>0</v>
          </cell>
          <cell r="P1161">
            <v>0</v>
          </cell>
          <cell r="R1161">
            <v>68.400000000000006</v>
          </cell>
        </row>
        <row r="1162">
          <cell r="C1162" t="str">
            <v>Treatment</v>
          </cell>
          <cell r="H1162">
            <v>1</v>
          </cell>
          <cell r="I1162">
            <v>1</v>
          </cell>
          <cell r="J1162">
            <v>1</v>
          </cell>
          <cell r="K1162">
            <v>0</v>
          </cell>
          <cell r="M1162">
            <v>0</v>
          </cell>
          <cell r="N1162">
            <v>0</v>
          </cell>
          <cell r="P1162">
            <v>0</v>
          </cell>
          <cell r="R1162">
            <v>66.5</v>
          </cell>
        </row>
        <row r="1163">
          <cell r="C1163" t="str">
            <v>Treatment</v>
          </cell>
          <cell r="H1163">
            <v>1</v>
          </cell>
          <cell r="I1163">
            <v>0</v>
          </cell>
          <cell r="J1163">
            <v>0</v>
          </cell>
          <cell r="K1163">
            <v>0</v>
          </cell>
          <cell r="M1163">
            <v>0</v>
          </cell>
          <cell r="N1163">
            <v>0</v>
          </cell>
          <cell r="P1163">
            <v>0</v>
          </cell>
          <cell r="R1163">
            <v>38.200000000000003</v>
          </cell>
        </row>
        <row r="1164">
          <cell r="C1164" t="str">
            <v>Treatment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M1164">
            <v>0</v>
          </cell>
          <cell r="N1164">
            <v>1</v>
          </cell>
          <cell r="P1164">
            <v>0</v>
          </cell>
          <cell r="R1164">
            <v>66.7</v>
          </cell>
        </row>
        <row r="1165">
          <cell r="C1165" t="str">
            <v>Treatment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M1165">
            <v>0</v>
          </cell>
          <cell r="N1165">
            <v>1</v>
          </cell>
          <cell r="P1165">
            <v>0</v>
          </cell>
          <cell r="R1165">
            <v>73.7</v>
          </cell>
        </row>
        <row r="1166">
          <cell r="C1166" t="str">
            <v>Treatment</v>
          </cell>
          <cell r="H1166">
            <v>1</v>
          </cell>
          <cell r="I1166">
            <v>1</v>
          </cell>
          <cell r="J1166">
            <v>1</v>
          </cell>
          <cell r="K1166">
            <v>0</v>
          </cell>
          <cell r="M1166">
            <v>0</v>
          </cell>
          <cell r="N1166">
            <v>0</v>
          </cell>
          <cell r="P1166">
            <v>0</v>
          </cell>
          <cell r="R1166">
            <v>63.9</v>
          </cell>
        </row>
        <row r="1167">
          <cell r="C1167" t="str">
            <v>Treatment</v>
          </cell>
          <cell r="H1167">
            <v>1</v>
          </cell>
          <cell r="I1167">
            <v>0</v>
          </cell>
          <cell r="J1167">
            <v>0</v>
          </cell>
          <cell r="K1167">
            <v>0</v>
          </cell>
          <cell r="M1167">
            <v>0</v>
          </cell>
          <cell r="N1167">
            <v>1</v>
          </cell>
          <cell r="P1167">
            <v>0</v>
          </cell>
          <cell r="R1167">
            <v>82.6</v>
          </cell>
        </row>
        <row r="1168">
          <cell r="C1168" t="str">
            <v>Treatment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M1168">
            <v>0</v>
          </cell>
          <cell r="N1168">
            <v>1</v>
          </cell>
          <cell r="P1168">
            <v>0</v>
          </cell>
          <cell r="R1168">
            <v>58.3</v>
          </cell>
        </row>
        <row r="1169">
          <cell r="C1169" t="str">
            <v>Treatment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M1169">
            <v>1496.19</v>
          </cell>
          <cell r="N1169">
            <v>0</v>
          </cell>
          <cell r="P1169">
            <v>1</v>
          </cell>
          <cell r="Q1169">
            <v>2</v>
          </cell>
          <cell r="R1169">
            <v>72.900000000000006</v>
          </cell>
        </row>
        <row r="1170">
          <cell r="C1170" t="str">
            <v>Treatment</v>
          </cell>
          <cell r="H1170">
            <v>1</v>
          </cell>
          <cell r="I1170">
            <v>1</v>
          </cell>
          <cell r="J1170">
            <v>1</v>
          </cell>
          <cell r="K1170">
            <v>0</v>
          </cell>
          <cell r="M1170">
            <v>0</v>
          </cell>
          <cell r="N1170">
            <v>2</v>
          </cell>
          <cell r="P1170">
            <v>0</v>
          </cell>
          <cell r="R1170">
            <v>53.5</v>
          </cell>
        </row>
        <row r="1171">
          <cell r="C1171" t="str">
            <v>Treatment</v>
          </cell>
          <cell r="H1171">
            <v>1</v>
          </cell>
          <cell r="I1171">
            <v>0</v>
          </cell>
          <cell r="J1171">
            <v>0</v>
          </cell>
          <cell r="K1171">
            <v>0</v>
          </cell>
          <cell r="M1171">
            <v>0</v>
          </cell>
          <cell r="N1171">
            <v>0</v>
          </cell>
          <cell r="P1171">
            <v>0</v>
          </cell>
          <cell r="R1171">
            <v>54.8</v>
          </cell>
        </row>
        <row r="1172">
          <cell r="C1172" t="str">
            <v>Treatment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M1172">
            <v>0</v>
          </cell>
          <cell r="N1172">
            <v>0</v>
          </cell>
          <cell r="P1172">
            <v>0</v>
          </cell>
          <cell r="R1172">
            <v>69.5</v>
          </cell>
        </row>
        <row r="1173">
          <cell r="C1173" t="str">
            <v>Treatment</v>
          </cell>
          <cell r="H1173">
            <v>1</v>
          </cell>
          <cell r="I1173">
            <v>0</v>
          </cell>
          <cell r="J1173">
            <v>0</v>
          </cell>
          <cell r="K1173">
            <v>0</v>
          </cell>
          <cell r="M1173">
            <v>0</v>
          </cell>
          <cell r="N1173">
            <v>1</v>
          </cell>
          <cell r="P1173">
            <v>0</v>
          </cell>
          <cell r="R1173">
            <v>71.3</v>
          </cell>
        </row>
        <row r="1174">
          <cell r="C1174" t="str">
            <v>Treatment</v>
          </cell>
          <cell r="H1174">
            <v>1</v>
          </cell>
          <cell r="I1174">
            <v>0</v>
          </cell>
          <cell r="J1174">
            <v>0</v>
          </cell>
          <cell r="K1174">
            <v>0</v>
          </cell>
          <cell r="M1174">
            <v>0</v>
          </cell>
          <cell r="N1174">
            <v>1</v>
          </cell>
          <cell r="P1174">
            <v>0</v>
          </cell>
          <cell r="R1174">
            <v>57.5</v>
          </cell>
        </row>
        <row r="1175">
          <cell r="C1175" t="str">
            <v>Treatment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M1175">
            <v>0</v>
          </cell>
          <cell r="N1175">
            <v>4</v>
          </cell>
          <cell r="P1175">
            <v>0</v>
          </cell>
          <cell r="R1175">
            <v>50.9</v>
          </cell>
        </row>
        <row r="1176">
          <cell r="C1176" t="str">
            <v>Treatment</v>
          </cell>
          <cell r="H1176">
            <v>1</v>
          </cell>
          <cell r="I1176">
            <v>1</v>
          </cell>
          <cell r="J1176">
            <v>1</v>
          </cell>
          <cell r="K1176">
            <v>0</v>
          </cell>
          <cell r="M1176">
            <v>0</v>
          </cell>
          <cell r="N1176">
            <v>0</v>
          </cell>
          <cell r="P1176">
            <v>0</v>
          </cell>
          <cell r="R1176">
            <v>69.3</v>
          </cell>
        </row>
        <row r="1177">
          <cell r="C1177" t="str">
            <v>Treatment</v>
          </cell>
          <cell r="H1177">
            <v>1</v>
          </cell>
          <cell r="I1177">
            <v>0</v>
          </cell>
          <cell r="J1177">
            <v>0</v>
          </cell>
          <cell r="K1177">
            <v>0</v>
          </cell>
          <cell r="M1177">
            <v>0</v>
          </cell>
          <cell r="N1177">
            <v>0</v>
          </cell>
          <cell r="P1177">
            <v>0</v>
          </cell>
          <cell r="R1177">
            <v>50.1</v>
          </cell>
        </row>
        <row r="1178">
          <cell r="C1178" t="str">
            <v>Treatment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M1178">
            <v>0</v>
          </cell>
          <cell r="N1178">
            <v>0</v>
          </cell>
          <cell r="P1178">
            <v>0</v>
          </cell>
          <cell r="R1178">
            <v>69.7</v>
          </cell>
        </row>
        <row r="1179">
          <cell r="C1179" t="str">
            <v>Treatment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M1179">
            <v>0</v>
          </cell>
          <cell r="N1179">
            <v>0</v>
          </cell>
          <cell r="P1179">
            <v>0</v>
          </cell>
          <cell r="R1179">
            <v>63.5</v>
          </cell>
        </row>
        <row r="1180">
          <cell r="C1180" t="str">
            <v>Treatment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M1180">
            <v>265.58999999999997</v>
          </cell>
          <cell r="N1180">
            <v>1</v>
          </cell>
          <cell r="P1180">
            <v>0</v>
          </cell>
          <cell r="Q1180">
            <v>8</v>
          </cell>
          <cell r="R1180">
            <v>80.400000000000006</v>
          </cell>
        </row>
        <row r="1181">
          <cell r="C1181" t="str">
            <v>Treatment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M1181">
            <v>0</v>
          </cell>
          <cell r="N1181">
            <v>0</v>
          </cell>
          <cell r="P1181">
            <v>0</v>
          </cell>
          <cell r="R1181">
            <v>58.9</v>
          </cell>
        </row>
        <row r="1182">
          <cell r="C1182" t="str">
            <v>Treatment</v>
          </cell>
          <cell r="H1182">
            <v>1</v>
          </cell>
          <cell r="I1182">
            <v>0</v>
          </cell>
          <cell r="J1182">
            <v>0</v>
          </cell>
          <cell r="K1182">
            <v>0</v>
          </cell>
          <cell r="M1182">
            <v>0</v>
          </cell>
          <cell r="N1182">
            <v>0</v>
          </cell>
          <cell r="P1182">
            <v>0</v>
          </cell>
          <cell r="R1182">
            <v>56.8</v>
          </cell>
        </row>
        <row r="1183">
          <cell r="C1183" t="str">
            <v>Treatment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M1183">
            <v>0</v>
          </cell>
          <cell r="N1183">
            <v>0</v>
          </cell>
          <cell r="P1183">
            <v>0</v>
          </cell>
          <cell r="R1183">
            <v>73.900000000000006</v>
          </cell>
        </row>
        <row r="1184">
          <cell r="C1184" t="str">
            <v>Treatment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M1184">
            <v>0</v>
          </cell>
          <cell r="N1184">
            <v>0</v>
          </cell>
          <cell r="P1184">
            <v>0</v>
          </cell>
          <cell r="R1184">
            <v>76.3</v>
          </cell>
        </row>
        <row r="1185">
          <cell r="C1185" t="str">
            <v>Treatment</v>
          </cell>
          <cell r="H1185">
            <v>1</v>
          </cell>
          <cell r="I1185">
            <v>0</v>
          </cell>
          <cell r="J1185">
            <v>0</v>
          </cell>
          <cell r="K1185">
            <v>0</v>
          </cell>
          <cell r="M1185">
            <v>0</v>
          </cell>
          <cell r="N1185">
            <v>0</v>
          </cell>
          <cell r="P1185">
            <v>0</v>
          </cell>
          <cell r="R1185">
            <v>56.9</v>
          </cell>
        </row>
        <row r="1186">
          <cell r="C1186" t="str">
            <v>Treatment</v>
          </cell>
          <cell r="H1186">
            <v>1</v>
          </cell>
          <cell r="I1186">
            <v>0</v>
          </cell>
          <cell r="J1186">
            <v>0</v>
          </cell>
          <cell r="K1186">
            <v>0</v>
          </cell>
          <cell r="M1186">
            <v>0</v>
          </cell>
          <cell r="N1186">
            <v>2</v>
          </cell>
          <cell r="P1186">
            <v>0</v>
          </cell>
          <cell r="R1186">
            <v>49.4</v>
          </cell>
        </row>
        <row r="1187">
          <cell r="C1187" t="str">
            <v>Treatment</v>
          </cell>
          <cell r="H1187">
            <v>1</v>
          </cell>
          <cell r="I1187">
            <v>0</v>
          </cell>
          <cell r="J1187">
            <v>0</v>
          </cell>
          <cell r="K1187">
            <v>0</v>
          </cell>
          <cell r="M1187">
            <v>0</v>
          </cell>
          <cell r="N1187">
            <v>0</v>
          </cell>
          <cell r="P1187">
            <v>0</v>
          </cell>
          <cell r="R1187">
            <v>86.7</v>
          </cell>
        </row>
        <row r="1188">
          <cell r="C1188" t="str">
            <v>Treatment</v>
          </cell>
          <cell r="H1188">
            <v>1</v>
          </cell>
          <cell r="I1188">
            <v>0</v>
          </cell>
          <cell r="J1188">
            <v>0</v>
          </cell>
          <cell r="K1188">
            <v>0</v>
          </cell>
          <cell r="M1188">
            <v>0</v>
          </cell>
          <cell r="N1188">
            <v>3</v>
          </cell>
          <cell r="P1188">
            <v>0</v>
          </cell>
          <cell r="R1188">
            <v>69</v>
          </cell>
        </row>
        <row r="1189">
          <cell r="C1189" t="str">
            <v>Treatment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M1189">
            <v>0</v>
          </cell>
          <cell r="N1189">
            <v>0</v>
          </cell>
          <cell r="P1189">
            <v>0</v>
          </cell>
          <cell r="R1189">
            <v>84.5</v>
          </cell>
        </row>
        <row r="1190">
          <cell r="C1190" t="str">
            <v>Treatment</v>
          </cell>
          <cell r="H1190">
            <v>1</v>
          </cell>
          <cell r="I1190">
            <v>0</v>
          </cell>
          <cell r="J1190">
            <v>0</v>
          </cell>
          <cell r="K1190">
            <v>0</v>
          </cell>
          <cell r="M1190">
            <v>0</v>
          </cell>
          <cell r="N1190">
            <v>0</v>
          </cell>
          <cell r="P1190">
            <v>0</v>
          </cell>
          <cell r="R1190">
            <v>66.3</v>
          </cell>
        </row>
        <row r="1191">
          <cell r="C1191" t="str">
            <v>Treatment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M1191">
            <v>0</v>
          </cell>
          <cell r="N1191">
            <v>0</v>
          </cell>
          <cell r="P1191">
            <v>0</v>
          </cell>
          <cell r="R1191">
            <v>52.2</v>
          </cell>
        </row>
        <row r="1192">
          <cell r="C1192" t="str">
            <v>Treatment</v>
          </cell>
          <cell r="H1192">
            <v>1</v>
          </cell>
          <cell r="I1192">
            <v>1</v>
          </cell>
          <cell r="J1192">
            <v>1</v>
          </cell>
          <cell r="K1192">
            <v>0</v>
          </cell>
          <cell r="M1192">
            <v>0</v>
          </cell>
          <cell r="N1192">
            <v>0</v>
          </cell>
          <cell r="P1192">
            <v>0</v>
          </cell>
          <cell r="R1192">
            <v>81.2</v>
          </cell>
        </row>
        <row r="1193">
          <cell r="C1193" t="str">
            <v>Treatment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M1193">
            <v>0</v>
          </cell>
          <cell r="N1193">
            <v>0</v>
          </cell>
          <cell r="P1193">
            <v>0</v>
          </cell>
          <cell r="R1193">
            <v>53.9</v>
          </cell>
        </row>
        <row r="1194">
          <cell r="C1194" t="str">
            <v>Treatment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M1194">
            <v>0</v>
          </cell>
          <cell r="N1194">
            <v>0</v>
          </cell>
          <cell r="P1194">
            <v>0</v>
          </cell>
          <cell r="R1194">
            <v>39.1</v>
          </cell>
        </row>
        <row r="1195">
          <cell r="C1195" t="str">
            <v>Treatment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M1195">
            <v>0</v>
          </cell>
          <cell r="N1195">
            <v>0</v>
          </cell>
          <cell r="P1195">
            <v>0</v>
          </cell>
          <cell r="R1195">
            <v>57.3</v>
          </cell>
        </row>
        <row r="1196">
          <cell r="C1196" t="str">
            <v>Treatment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M1196">
            <v>0</v>
          </cell>
          <cell r="N1196">
            <v>1</v>
          </cell>
          <cell r="P1196">
            <v>0</v>
          </cell>
          <cell r="R1196">
            <v>65.900000000000006</v>
          </cell>
        </row>
        <row r="1197">
          <cell r="C1197" t="str">
            <v>Treatment</v>
          </cell>
          <cell r="H1197">
            <v>1</v>
          </cell>
          <cell r="I1197">
            <v>0</v>
          </cell>
          <cell r="J1197">
            <v>0</v>
          </cell>
          <cell r="K1197">
            <v>0</v>
          </cell>
          <cell r="M1197">
            <v>0</v>
          </cell>
          <cell r="N1197">
            <v>1</v>
          </cell>
          <cell r="P1197">
            <v>0</v>
          </cell>
          <cell r="R1197">
            <v>34.200000000000003</v>
          </cell>
        </row>
        <row r="1198">
          <cell r="C1198" t="str">
            <v>Treatment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M1198">
            <v>0</v>
          </cell>
          <cell r="N1198">
            <v>0</v>
          </cell>
          <cell r="P1198">
            <v>0</v>
          </cell>
          <cell r="R1198">
            <v>47.2</v>
          </cell>
        </row>
        <row r="1199">
          <cell r="C1199" t="str">
            <v>Treatment</v>
          </cell>
          <cell r="H1199">
            <v>1</v>
          </cell>
          <cell r="I1199">
            <v>0</v>
          </cell>
          <cell r="J1199">
            <v>0</v>
          </cell>
          <cell r="K1199">
            <v>0</v>
          </cell>
          <cell r="M1199">
            <v>0</v>
          </cell>
          <cell r="N1199">
            <v>1</v>
          </cell>
          <cell r="P1199">
            <v>0</v>
          </cell>
          <cell r="R1199">
            <v>55</v>
          </cell>
        </row>
        <row r="1200">
          <cell r="C1200" t="str">
            <v>Treatment</v>
          </cell>
          <cell r="H1200">
            <v>1</v>
          </cell>
          <cell r="I1200">
            <v>1</v>
          </cell>
          <cell r="J1200">
            <v>1</v>
          </cell>
          <cell r="K1200">
            <v>0</v>
          </cell>
          <cell r="M1200">
            <v>0</v>
          </cell>
          <cell r="N1200">
            <v>0</v>
          </cell>
          <cell r="P1200">
            <v>0</v>
          </cell>
          <cell r="R1200">
            <v>76.400000000000006</v>
          </cell>
        </row>
        <row r="1201">
          <cell r="C1201" t="str">
            <v>Treatment</v>
          </cell>
          <cell r="H1201">
            <v>1</v>
          </cell>
          <cell r="I1201">
            <v>0</v>
          </cell>
          <cell r="J1201">
            <v>0</v>
          </cell>
          <cell r="K1201">
            <v>0</v>
          </cell>
          <cell r="M1201">
            <v>0</v>
          </cell>
          <cell r="N1201">
            <v>0</v>
          </cell>
          <cell r="P1201">
            <v>0</v>
          </cell>
          <cell r="R1201">
            <v>70.8</v>
          </cell>
        </row>
        <row r="1202">
          <cell r="C1202" t="str">
            <v>Treatment</v>
          </cell>
          <cell r="H1202">
            <v>1</v>
          </cell>
          <cell r="I1202">
            <v>1</v>
          </cell>
          <cell r="J1202">
            <v>0</v>
          </cell>
          <cell r="K1202">
            <v>0</v>
          </cell>
          <cell r="M1202">
            <v>0</v>
          </cell>
          <cell r="N1202">
            <v>1</v>
          </cell>
          <cell r="P1202">
            <v>0</v>
          </cell>
          <cell r="R1202">
            <v>58</v>
          </cell>
        </row>
        <row r="1203">
          <cell r="C1203" t="str">
            <v>Treatment</v>
          </cell>
          <cell r="H1203">
            <v>1</v>
          </cell>
          <cell r="I1203">
            <v>1</v>
          </cell>
          <cell r="J1203">
            <v>1</v>
          </cell>
          <cell r="K1203">
            <v>0</v>
          </cell>
          <cell r="M1203">
            <v>0</v>
          </cell>
          <cell r="N1203">
            <v>1</v>
          </cell>
          <cell r="P1203">
            <v>0</v>
          </cell>
          <cell r="R1203">
            <v>70.8</v>
          </cell>
        </row>
        <row r="1204">
          <cell r="C1204" t="str">
            <v>Treatment</v>
          </cell>
          <cell r="H1204">
            <v>1</v>
          </cell>
          <cell r="I1204">
            <v>0</v>
          </cell>
          <cell r="J1204">
            <v>0</v>
          </cell>
          <cell r="K1204">
            <v>0</v>
          </cell>
          <cell r="M1204">
            <v>0</v>
          </cell>
          <cell r="N1204">
            <v>3</v>
          </cell>
          <cell r="P1204">
            <v>0</v>
          </cell>
          <cell r="R1204">
            <v>60</v>
          </cell>
        </row>
        <row r="1205">
          <cell r="C1205" t="str">
            <v>Treatment</v>
          </cell>
          <cell r="H1205">
            <v>1</v>
          </cell>
          <cell r="I1205">
            <v>1</v>
          </cell>
          <cell r="J1205">
            <v>1</v>
          </cell>
          <cell r="K1205">
            <v>0</v>
          </cell>
          <cell r="M1205">
            <v>0</v>
          </cell>
          <cell r="N1205">
            <v>3</v>
          </cell>
          <cell r="P1205">
            <v>0</v>
          </cell>
          <cell r="R1205">
            <v>58.1</v>
          </cell>
        </row>
        <row r="1206">
          <cell r="C1206" t="str">
            <v>Treatment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M1206">
            <v>0</v>
          </cell>
          <cell r="N1206">
            <v>0</v>
          </cell>
          <cell r="P1206">
            <v>0</v>
          </cell>
          <cell r="R1206">
            <v>59.7</v>
          </cell>
        </row>
        <row r="1207">
          <cell r="C1207" t="str">
            <v>Treatment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M1207">
            <v>0</v>
          </cell>
          <cell r="N1207">
            <v>0</v>
          </cell>
          <cell r="P1207">
            <v>0</v>
          </cell>
          <cell r="R1207">
            <v>47.7</v>
          </cell>
        </row>
        <row r="1208">
          <cell r="C1208" t="str">
            <v>Treatment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M1208">
            <v>0</v>
          </cell>
          <cell r="N1208">
            <v>0</v>
          </cell>
          <cell r="P1208">
            <v>0</v>
          </cell>
          <cell r="R1208">
            <v>59.1</v>
          </cell>
        </row>
        <row r="1209">
          <cell r="C1209" t="str">
            <v>Treatment</v>
          </cell>
          <cell r="H1209">
            <v>1</v>
          </cell>
          <cell r="I1209">
            <v>0</v>
          </cell>
          <cell r="J1209">
            <v>0</v>
          </cell>
          <cell r="K1209">
            <v>0</v>
          </cell>
          <cell r="M1209">
            <v>0</v>
          </cell>
          <cell r="N1209">
            <v>1</v>
          </cell>
          <cell r="P1209">
            <v>0</v>
          </cell>
          <cell r="R1209">
            <v>68.7</v>
          </cell>
        </row>
        <row r="1210">
          <cell r="C1210" t="str">
            <v>Treatment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M1210">
            <v>0</v>
          </cell>
          <cell r="N1210">
            <v>0</v>
          </cell>
          <cell r="P1210">
            <v>0</v>
          </cell>
          <cell r="R1210">
            <v>34.700000000000003</v>
          </cell>
        </row>
        <row r="1211">
          <cell r="C1211" t="str">
            <v>Treatment</v>
          </cell>
          <cell r="H1211">
            <v>1</v>
          </cell>
          <cell r="I1211">
            <v>0</v>
          </cell>
          <cell r="J1211">
            <v>0</v>
          </cell>
          <cell r="K1211">
            <v>0</v>
          </cell>
          <cell r="M1211">
            <v>0</v>
          </cell>
          <cell r="N1211">
            <v>0</v>
          </cell>
          <cell r="P1211">
            <v>0</v>
          </cell>
          <cell r="R1211">
            <v>62</v>
          </cell>
        </row>
        <row r="1212">
          <cell r="C1212" t="str">
            <v>Treatment</v>
          </cell>
          <cell r="H1212">
            <v>1</v>
          </cell>
          <cell r="I1212">
            <v>1</v>
          </cell>
          <cell r="J1212">
            <v>0</v>
          </cell>
          <cell r="K1212">
            <v>0</v>
          </cell>
          <cell r="M1212">
            <v>0</v>
          </cell>
          <cell r="N1212">
            <v>0</v>
          </cell>
          <cell r="P1212">
            <v>0</v>
          </cell>
          <cell r="R1212">
            <v>56</v>
          </cell>
        </row>
        <row r="1213">
          <cell r="C1213" t="str">
            <v>Treatment</v>
          </cell>
          <cell r="H1213">
            <v>1</v>
          </cell>
          <cell r="I1213">
            <v>0</v>
          </cell>
          <cell r="J1213">
            <v>0</v>
          </cell>
          <cell r="K1213">
            <v>0</v>
          </cell>
          <cell r="M1213">
            <v>0</v>
          </cell>
          <cell r="N1213">
            <v>1</v>
          </cell>
          <cell r="P1213">
            <v>0</v>
          </cell>
          <cell r="R1213">
            <v>65.8</v>
          </cell>
        </row>
        <row r="1214">
          <cell r="C1214" t="str">
            <v>Treatment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M1214">
            <v>0</v>
          </cell>
          <cell r="N1214">
            <v>0</v>
          </cell>
          <cell r="P1214">
            <v>0</v>
          </cell>
          <cell r="R1214">
            <v>54.7</v>
          </cell>
        </row>
        <row r="1215">
          <cell r="C1215" t="str">
            <v>Treatment</v>
          </cell>
          <cell r="H1215">
            <v>1</v>
          </cell>
          <cell r="I1215">
            <v>1</v>
          </cell>
          <cell r="J1215">
            <v>0</v>
          </cell>
          <cell r="K1215">
            <v>0</v>
          </cell>
          <cell r="M1215">
            <v>0</v>
          </cell>
          <cell r="N1215">
            <v>0</v>
          </cell>
          <cell r="P1215">
            <v>0</v>
          </cell>
          <cell r="R1215">
            <v>64.099999999999994</v>
          </cell>
        </row>
        <row r="1216">
          <cell r="C1216" t="str">
            <v>Treatment</v>
          </cell>
          <cell r="H1216">
            <v>1</v>
          </cell>
          <cell r="I1216">
            <v>1</v>
          </cell>
          <cell r="J1216">
            <v>1</v>
          </cell>
          <cell r="K1216">
            <v>0</v>
          </cell>
          <cell r="M1216">
            <v>0</v>
          </cell>
          <cell r="N1216">
            <v>0</v>
          </cell>
          <cell r="P1216">
            <v>0</v>
          </cell>
          <cell r="R1216">
            <v>71.599999999999994</v>
          </cell>
        </row>
        <row r="1217">
          <cell r="C1217" t="str">
            <v>Treatment</v>
          </cell>
          <cell r="H1217">
            <v>1</v>
          </cell>
          <cell r="I1217">
            <v>0</v>
          </cell>
          <cell r="J1217">
            <v>0</v>
          </cell>
          <cell r="K1217">
            <v>0</v>
          </cell>
          <cell r="M1217">
            <v>0</v>
          </cell>
          <cell r="N1217">
            <v>0</v>
          </cell>
          <cell r="P1217">
            <v>0</v>
          </cell>
          <cell r="R1217">
            <v>78.400000000000006</v>
          </cell>
        </row>
        <row r="1218">
          <cell r="C1218" t="str">
            <v>Treatment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M1218">
            <v>0</v>
          </cell>
          <cell r="N1218">
            <v>0</v>
          </cell>
          <cell r="P1218">
            <v>0</v>
          </cell>
          <cell r="R1218">
            <v>49.3</v>
          </cell>
        </row>
        <row r="1219">
          <cell r="C1219" t="str">
            <v>Treatment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M1219">
            <v>0</v>
          </cell>
          <cell r="N1219">
            <v>0</v>
          </cell>
          <cell r="P1219">
            <v>0</v>
          </cell>
          <cell r="R1219">
            <v>52.8</v>
          </cell>
        </row>
        <row r="1220">
          <cell r="C1220" t="str">
            <v>Treatment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M1220">
            <v>0</v>
          </cell>
          <cell r="N1220">
            <v>0</v>
          </cell>
          <cell r="P1220">
            <v>0</v>
          </cell>
          <cell r="R1220">
            <v>58.5</v>
          </cell>
        </row>
        <row r="1221">
          <cell r="C1221" t="str">
            <v>Treatment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M1221">
            <v>0</v>
          </cell>
          <cell r="N1221">
            <v>0</v>
          </cell>
          <cell r="P1221">
            <v>0</v>
          </cell>
          <cell r="R1221">
            <v>55.9</v>
          </cell>
        </row>
        <row r="1222">
          <cell r="C1222" t="str">
            <v>Treatment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M1222">
            <v>351.43</v>
          </cell>
          <cell r="N1222">
            <v>1</v>
          </cell>
          <cell r="P1222">
            <v>0</v>
          </cell>
          <cell r="Q1222">
            <v>6</v>
          </cell>
          <cell r="R1222">
            <v>74.900000000000006</v>
          </cell>
        </row>
        <row r="1223">
          <cell r="C1223" t="str">
            <v>Treatment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M1223">
            <v>352.42</v>
          </cell>
          <cell r="N1223">
            <v>0</v>
          </cell>
          <cell r="P1223">
            <v>0</v>
          </cell>
          <cell r="Q1223">
            <v>4</v>
          </cell>
          <cell r="R1223">
            <v>58.5</v>
          </cell>
        </row>
        <row r="1224">
          <cell r="C1224" t="str">
            <v>Treatment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M1224">
            <v>0</v>
          </cell>
          <cell r="N1224">
            <v>0</v>
          </cell>
          <cell r="P1224">
            <v>0</v>
          </cell>
          <cell r="R1224">
            <v>63.5</v>
          </cell>
        </row>
        <row r="1225">
          <cell r="C1225" t="str">
            <v>Treatment</v>
          </cell>
          <cell r="H1225">
            <v>1</v>
          </cell>
          <cell r="I1225">
            <v>0</v>
          </cell>
          <cell r="J1225">
            <v>0</v>
          </cell>
          <cell r="K1225">
            <v>0</v>
          </cell>
          <cell r="M1225">
            <v>0</v>
          </cell>
          <cell r="N1225">
            <v>1</v>
          </cell>
          <cell r="P1225">
            <v>0</v>
          </cell>
          <cell r="R1225">
            <v>64.8</v>
          </cell>
        </row>
        <row r="1226">
          <cell r="C1226" t="str">
            <v>Treatment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M1226">
            <v>0</v>
          </cell>
          <cell r="N1226">
            <v>0</v>
          </cell>
          <cell r="P1226">
            <v>0</v>
          </cell>
          <cell r="R1226">
            <v>63.3</v>
          </cell>
        </row>
        <row r="1227">
          <cell r="C1227" t="str">
            <v>Treatment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M1227">
            <v>1074.1600000000001</v>
          </cell>
          <cell r="N1227">
            <v>0</v>
          </cell>
          <cell r="P1227">
            <v>0</v>
          </cell>
          <cell r="Q1227">
            <v>8</v>
          </cell>
          <cell r="R1227">
            <v>83.7</v>
          </cell>
        </row>
        <row r="1228">
          <cell r="C1228" t="str">
            <v>Treatment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M1228">
            <v>0</v>
          </cell>
          <cell r="N1228">
            <v>0</v>
          </cell>
          <cell r="P1228">
            <v>0</v>
          </cell>
          <cell r="R1228">
            <v>88.7</v>
          </cell>
        </row>
        <row r="1229">
          <cell r="C1229" t="str">
            <v>Treatment</v>
          </cell>
          <cell r="H1229">
            <v>1</v>
          </cell>
          <cell r="I1229">
            <v>0</v>
          </cell>
          <cell r="J1229">
            <v>0</v>
          </cell>
          <cell r="K1229">
            <v>0</v>
          </cell>
          <cell r="M1229">
            <v>0</v>
          </cell>
          <cell r="N1229">
            <v>1</v>
          </cell>
          <cell r="P1229">
            <v>0</v>
          </cell>
          <cell r="R1229">
            <v>61.5</v>
          </cell>
        </row>
        <row r="1230">
          <cell r="C1230" t="str">
            <v>Treatment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M1230">
            <v>0</v>
          </cell>
          <cell r="N1230">
            <v>0</v>
          </cell>
          <cell r="P1230">
            <v>0</v>
          </cell>
          <cell r="R1230">
            <v>45.3</v>
          </cell>
        </row>
        <row r="1231">
          <cell r="C1231" t="str">
            <v>Treatment</v>
          </cell>
          <cell r="H1231">
            <v>1</v>
          </cell>
          <cell r="I1231">
            <v>0</v>
          </cell>
          <cell r="J1231">
            <v>0</v>
          </cell>
          <cell r="K1231">
            <v>0</v>
          </cell>
          <cell r="M1231">
            <v>0</v>
          </cell>
          <cell r="N1231">
            <v>0</v>
          </cell>
          <cell r="P1231">
            <v>0</v>
          </cell>
          <cell r="R1231">
            <v>37.299999999999997</v>
          </cell>
        </row>
        <row r="1232">
          <cell r="C1232" t="str">
            <v>Treatment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M1232">
            <v>0</v>
          </cell>
          <cell r="N1232">
            <v>1</v>
          </cell>
          <cell r="P1232">
            <v>0</v>
          </cell>
          <cell r="R1232">
            <v>76.099999999999994</v>
          </cell>
        </row>
        <row r="1233">
          <cell r="C1233" t="str">
            <v>Treatment</v>
          </cell>
          <cell r="H1233">
            <v>1</v>
          </cell>
          <cell r="I1233">
            <v>1</v>
          </cell>
          <cell r="J1233">
            <v>1</v>
          </cell>
          <cell r="K1233">
            <v>0</v>
          </cell>
          <cell r="M1233">
            <v>0</v>
          </cell>
          <cell r="N1233">
            <v>1</v>
          </cell>
          <cell r="P1233">
            <v>0</v>
          </cell>
          <cell r="R1233">
            <v>72.5</v>
          </cell>
        </row>
        <row r="1234">
          <cell r="C1234" t="str">
            <v>Treatment</v>
          </cell>
          <cell r="H1234">
            <v>1</v>
          </cell>
          <cell r="I1234">
            <v>0</v>
          </cell>
          <cell r="J1234">
            <v>0</v>
          </cell>
          <cell r="K1234">
            <v>0</v>
          </cell>
          <cell r="M1234">
            <v>0</v>
          </cell>
          <cell r="N1234">
            <v>0</v>
          </cell>
          <cell r="P1234">
            <v>0</v>
          </cell>
          <cell r="R1234">
            <v>62.3</v>
          </cell>
        </row>
        <row r="1235">
          <cell r="C1235" t="str">
            <v>Treatment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M1235">
            <v>0</v>
          </cell>
          <cell r="N1235">
            <v>0</v>
          </cell>
          <cell r="P1235">
            <v>0</v>
          </cell>
          <cell r="R1235">
            <v>62.7</v>
          </cell>
        </row>
        <row r="1236">
          <cell r="C1236" t="str">
            <v>Treatment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M1236">
            <v>0</v>
          </cell>
          <cell r="N1236">
            <v>0</v>
          </cell>
          <cell r="P1236">
            <v>0</v>
          </cell>
          <cell r="R1236">
            <v>82.4</v>
          </cell>
        </row>
        <row r="1237">
          <cell r="C1237" t="str">
            <v>Treatment</v>
          </cell>
          <cell r="H1237">
            <v>1</v>
          </cell>
          <cell r="I1237">
            <v>0</v>
          </cell>
          <cell r="J1237">
            <v>0</v>
          </cell>
          <cell r="K1237">
            <v>0</v>
          </cell>
          <cell r="M1237">
            <v>0</v>
          </cell>
          <cell r="N1237">
            <v>0</v>
          </cell>
          <cell r="P1237">
            <v>0</v>
          </cell>
          <cell r="R1237">
            <v>78.900000000000006</v>
          </cell>
        </row>
        <row r="1238">
          <cell r="C1238" t="str">
            <v>Treatment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M1238">
            <v>618.91</v>
          </cell>
          <cell r="N1238">
            <v>0</v>
          </cell>
          <cell r="P1238">
            <v>0</v>
          </cell>
          <cell r="Q1238">
            <v>4</v>
          </cell>
          <cell r="R1238">
            <v>67.8</v>
          </cell>
        </row>
        <row r="1239">
          <cell r="C1239" t="str">
            <v>Treatment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M1239">
            <v>0</v>
          </cell>
          <cell r="N1239">
            <v>0</v>
          </cell>
          <cell r="P1239">
            <v>0</v>
          </cell>
          <cell r="R1239">
            <v>68.8</v>
          </cell>
        </row>
        <row r="1240">
          <cell r="C1240" t="str">
            <v>Treatment</v>
          </cell>
          <cell r="H1240">
            <v>1</v>
          </cell>
          <cell r="I1240">
            <v>0</v>
          </cell>
          <cell r="J1240">
            <v>0</v>
          </cell>
          <cell r="K1240">
            <v>0</v>
          </cell>
          <cell r="M1240">
            <v>0</v>
          </cell>
          <cell r="N1240">
            <v>0</v>
          </cell>
          <cell r="P1240">
            <v>0</v>
          </cell>
          <cell r="R1240">
            <v>67.7</v>
          </cell>
        </row>
        <row r="1241">
          <cell r="C1241" t="str">
            <v>Treatment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M1241">
            <v>0</v>
          </cell>
          <cell r="N1241">
            <v>0</v>
          </cell>
          <cell r="P1241">
            <v>0</v>
          </cell>
          <cell r="R1241">
            <v>88</v>
          </cell>
        </row>
        <row r="1242">
          <cell r="C1242" t="str">
            <v>Treatment</v>
          </cell>
          <cell r="H1242">
            <v>1</v>
          </cell>
          <cell r="I1242">
            <v>1</v>
          </cell>
          <cell r="J1242">
            <v>0</v>
          </cell>
          <cell r="K1242">
            <v>0</v>
          </cell>
          <cell r="M1242">
            <v>0</v>
          </cell>
          <cell r="N1242">
            <v>0</v>
          </cell>
          <cell r="P1242">
            <v>0</v>
          </cell>
          <cell r="R1242">
            <v>80.099999999999994</v>
          </cell>
        </row>
        <row r="1243">
          <cell r="C1243" t="str">
            <v>Treatment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M1243">
            <v>0</v>
          </cell>
          <cell r="N1243">
            <v>1</v>
          </cell>
          <cell r="P1243">
            <v>0</v>
          </cell>
          <cell r="R1243">
            <v>48.2</v>
          </cell>
        </row>
        <row r="1244">
          <cell r="C1244" t="str">
            <v>Treatment</v>
          </cell>
          <cell r="H1244">
            <v>1</v>
          </cell>
          <cell r="I1244">
            <v>0</v>
          </cell>
          <cell r="J1244">
            <v>0</v>
          </cell>
          <cell r="K1244">
            <v>0</v>
          </cell>
          <cell r="M1244">
            <v>0</v>
          </cell>
          <cell r="N1244">
            <v>0</v>
          </cell>
          <cell r="P1244">
            <v>0</v>
          </cell>
          <cell r="R1244">
            <v>52.7</v>
          </cell>
        </row>
        <row r="1245">
          <cell r="C1245" t="str">
            <v>Treatment</v>
          </cell>
          <cell r="H1245">
            <v>1</v>
          </cell>
          <cell r="I1245">
            <v>1</v>
          </cell>
          <cell r="J1245">
            <v>0</v>
          </cell>
          <cell r="K1245">
            <v>0</v>
          </cell>
          <cell r="M1245">
            <v>0</v>
          </cell>
          <cell r="N1245">
            <v>0</v>
          </cell>
          <cell r="P1245">
            <v>0</v>
          </cell>
          <cell r="R1245">
            <v>59.9</v>
          </cell>
        </row>
        <row r="1246">
          <cell r="C1246" t="str">
            <v>Treatment</v>
          </cell>
          <cell r="H1246">
            <v>1</v>
          </cell>
          <cell r="I1246">
            <v>0</v>
          </cell>
          <cell r="J1246">
            <v>0</v>
          </cell>
          <cell r="K1246">
            <v>0</v>
          </cell>
          <cell r="M1246">
            <v>0</v>
          </cell>
          <cell r="N1246">
            <v>0</v>
          </cell>
          <cell r="P1246">
            <v>0</v>
          </cell>
          <cell r="R1246">
            <v>49.5</v>
          </cell>
        </row>
        <row r="1247">
          <cell r="C1247" t="str">
            <v>Treatment</v>
          </cell>
          <cell r="H1247">
            <v>1</v>
          </cell>
          <cell r="I1247">
            <v>0</v>
          </cell>
          <cell r="J1247">
            <v>0</v>
          </cell>
          <cell r="K1247">
            <v>0</v>
          </cell>
          <cell r="M1247">
            <v>0</v>
          </cell>
          <cell r="N1247">
            <v>0</v>
          </cell>
          <cell r="P1247">
            <v>0</v>
          </cell>
          <cell r="R1247">
            <v>41.5</v>
          </cell>
        </row>
        <row r="1248">
          <cell r="C1248" t="str">
            <v>Treatment</v>
          </cell>
          <cell r="H1248">
            <v>1</v>
          </cell>
          <cell r="I1248">
            <v>0</v>
          </cell>
          <cell r="J1248">
            <v>0</v>
          </cell>
          <cell r="K1248">
            <v>0</v>
          </cell>
          <cell r="M1248">
            <v>0</v>
          </cell>
          <cell r="N1248">
            <v>0</v>
          </cell>
          <cell r="P1248">
            <v>0</v>
          </cell>
          <cell r="R1248">
            <v>71.2</v>
          </cell>
        </row>
        <row r="1249">
          <cell r="C1249" t="str">
            <v>Treatment</v>
          </cell>
          <cell r="H1249">
            <v>1</v>
          </cell>
          <cell r="I1249">
            <v>1</v>
          </cell>
          <cell r="J1249">
            <v>1</v>
          </cell>
          <cell r="K1249">
            <v>0</v>
          </cell>
          <cell r="M1249">
            <v>0</v>
          </cell>
          <cell r="N1249">
            <v>0</v>
          </cell>
          <cell r="P1249">
            <v>0</v>
          </cell>
          <cell r="R1249">
            <v>65.8</v>
          </cell>
        </row>
        <row r="1250">
          <cell r="C1250" t="str">
            <v>Treatment</v>
          </cell>
          <cell r="H1250">
            <v>1</v>
          </cell>
          <cell r="I1250">
            <v>0</v>
          </cell>
          <cell r="J1250">
            <v>0</v>
          </cell>
          <cell r="K1250">
            <v>0</v>
          </cell>
          <cell r="M1250">
            <v>0</v>
          </cell>
          <cell r="N1250">
            <v>1</v>
          </cell>
          <cell r="P1250">
            <v>0</v>
          </cell>
          <cell r="R1250">
            <v>55.1</v>
          </cell>
        </row>
        <row r="1251">
          <cell r="C1251" t="str">
            <v>Treatment</v>
          </cell>
          <cell r="H1251">
            <v>1</v>
          </cell>
          <cell r="I1251">
            <v>0</v>
          </cell>
          <cell r="J1251">
            <v>0</v>
          </cell>
          <cell r="K1251">
            <v>0</v>
          </cell>
          <cell r="M1251">
            <v>0</v>
          </cell>
          <cell r="N1251">
            <v>0</v>
          </cell>
          <cell r="P1251">
            <v>0</v>
          </cell>
          <cell r="R1251">
            <v>54.6</v>
          </cell>
        </row>
        <row r="1252">
          <cell r="C1252" t="str">
            <v>Treatment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M1252">
            <v>923.67</v>
          </cell>
          <cell r="N1252">
            <v>0</v>
          </cell>
          <cell r="P1252">
            <v>0</v>
          </cell>
          <cell r="Q1252">
            <v>4</v>
          </cell>
          <cell r="R1252">
            <v>81.900000000000006</v>
          </cell>
        </row>
        <row r="1253">
          <cell r="C1253" t="str">
            <v>Treatment</v>
          </cell>
          <cell r="H1253">
            <v>1</v>
          </cell>
          <cell r="I1253">
            <v>1</v>
          </cell>
          <cell r="J1253">
            <v>0</v>
          </cell>
          <cell r="K1253">
            <v>0</v>
          </cell>
          <cell r="M1253">
            <v>0</v>
          </cell>
          <cell r="N1253">
            <v>3</v>
          </cell>
          <cell r="P1253">
            <v>0</v>
          </cell>
          <cell r="R1253">
            <v>63.2</v>
          </cell>
        </row>
        <row r="1254">
          <cell r="C1254" t="str">
            <v>Treatment</v>
          </cell>
          <cell r="H1254">
            <v>1</v>
          </cell>
          <cell r="I1254">
            <v>0</v>
          </cell>
          <cell r="J1254">
            <v>0</v>
          </cell>
          <cell r="K1254">
            <v>0</v>
          </cell>
          <cell r="M1254">
            <v>0</v>
          </cell>
          <cell r="N1254">
            <v>0</v>
          </cell>
          <cell r="P1254">
            <v>0</v>
          </cell>
          <cell r="R1254">
            <v>55.4</v>
          </cell>
        </row>
        <row r="1255">
          <cell r="C1255" t="str">
            <v>Treatment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M1255">
            <v>0</v>
          </cell>
          <cell r="N1255">
            <v>0</v>
          </cell>
          <cell r="P1255">
            <v>0</v>
          </cell>
          <cell r="R1255">
            <v>87.5</v>
          </cell>
        </row>
        <row r="1256">
          <cell r="C1256" t="str">
            <v>Treatment</v>
          </cell>
          <cell r="H1256">
            <v>1</v>
          </cell>
          <cell r="I1256">
            <v>0</v>
          </cell>
          <cell r="J1256">
            <v>0</v>
          </cell>
          <cell r="K1256">
            <v>0</v>
          </cell>
          <cell r="M1256">
            <v>0</v>
          </cell>
          <cell r="N1256">
            <v>0</v>
          </cell>
          <cell r="P1256">
            <v>0</v>
          </cell>
          <cell r="R1256">
            <v>48.5</v>
          </cell>
        </row>
        <row r="1257">
          <cell r="C1257" t="str">
            <v>Treatment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M1257">
            <v>420.27</v>
          </cell>
          <cell r="N1257">
            <v>0</v>
          </cell>
          <cell r="P1257">
            <v>0</v>
          </cell>
          <cell r="Q1257">
            <v>6</v>
          </cell>
          <cell r="R1257">
            <v>58.4</v>
          </cell>
        </row>
        <row r="1258">
          <cell r="C1258" t="str">
            <v>Treatment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M1258">
            <v>0</v>
          </cell>
          <cell r="N1258">
            <v>0</v>
          </cell>
          <cell r="P1258">
            <v>0</v>
          </cell>
          <cell r="R1258">
            <v>59.5</v>
          </cell>
        </row>
        <row r="1259">
          <cell r="C1259" t="str">
            <v>Treatment</v>
          </cell>
          <cell r="H1259">
            <v>1</v>
          </cell>
          <cell r="I1259">
            <v>0</v>
          </cell>
          <cell r="J1259">
            <v>0</v>
          </cell>
          <cell r="K1259">
            <v>0</v>
          </cell>
          <cell r="M1259">
            <v>0</v>
          </cell>
          <cell r="N1259">
            <v>0</v>
          </cell>
          <cell r="P1259">
            <v>0</v>
          </cell>
          <cell r="R1259">
            <v>93.2</v>
          </cell>
        </row>
        <row r="1260">
          <cell r="C1260" t="str">
            <v>Treatment</v>
          </cell>
          <cell r="H1260">
            <v>1</v>
          </cell>
          <cell r="I1260">
            <v>0</v>
          </cell>
          <cell r="J1260">
            <v>0</v>
          </cell>
          <cell r="K1260">
            <v>0</v>
          </cell>
          <cell r="M1260">
            <v>0</v>
          </cell>
          <cell r="N1260">
            <v>0</v>
          </cell>
          <cell r="P1260">
            <v>0</v>
          </cell>
          <cell r="R1260">
            <v>59</v>
          </cell>
        </row>
        <row r="1261">
          <cell r="C1261" t="str">
            <v>Treatment</v>
          </cell>
          <cell r="H1261">
            <v>1</v>
          </cell>
          <cell r="I1261">
            <v>0</v>
          </cell>
          <cell r="J1261">
            <v>0</v>
          </cell>
          <cell r="K1261">
            <v>0</v>
          </cell>
          <cell r="M1261">
            <v>0</v>
          </cell>
          <cell r="N1261">
            <v>0</v>
          </cell>
          <cell r="P1261">
            <v>0</v>
          </cell>
          <cell r="R1261">
            <v>37</v>
          </cell>
        </row>
        <row r="1262">
          <cell r="C1262" t="str">
            <v>Treatment</v>
          </cell>
          <cell r="H1262">
            <v>1</v>
          </cell>
          <cell r="I1262">
            <v>0</v>
          </cell>
          <cell r="J1262">
            <v>0</v>
          </cell>
          <cell r="K1262">
            <v>0</v>
          </cell>
          <cell r="M1262">
            <v>0</v>
          </cell>
          <cell r="N1262">
            <v>0</v>
          </cell>
          <cell r="P1262">
            <v>0</v>
          </cell>
          <cell r="R1262">
            <v>47.5</v>
          </cell>
        </row>
        <row r="1263">
          <cell r="C1263" t="str">
            <v>Treatment</v>
          </cell>
          <cell r="H1263">
            <v>1</v>
          </cell>
          <cell r="I1263">
            <v>1</v>
          </cell>
          <cell r="J1263">
            <v>1</v>
          </cell>
          <cell r="K1263">
            <v>0</v>
          </cell>
          <cell r="M1263">
            <v>0</v>
          </cell>
          <cell r="N1263">
            <v>0</v>
          </cell>
          <cell r="P1263">
            <v>0</v>
          </cell>
          <cell r="R1263">
            <v>78.7</v>
          </cell>
        </row>
        <row r="1264">
          <cell r="C1264" t="str">
            <v>Treatment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M1264">
            <v>0</v>
          </cell>
          <cell r="N1264">
            <v>0</v>
          </cell>
          <cell r="P1264">
            <v>0</v>
          </cell>
          <cell r="R1264">
            <v>49.6</v>
          </cell>
        </row>
        <row r="1265">
          <cell r="C1265" t="str">
            <v>Treatment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M1265">
            <v>0</v>
          </cell>
          <cell r="N1265">
            <v>0</v>
          </cell>
          <cell r="P1265">
            <v>0</v>
          </cell>
          <cell r="R1265">
            <v>58</v>
          </cell>
        </row>
        <row r="1266">
          <cell r="C1266" t="str">
            <v>Treatment</v>
          </cell>
          <cell r="H1266">
            <v>1</v>
          </cell>
          <cell r="I1266">
            <v>0</v>
          </cell>
          <cell r="J1266">
            <v>0</v>
          </cell>
          <cell r="K1266">
            <v>0</v>
          </cell>
          <cell r="M1266">
            <v>0</v>
          </cell>
          <cell r="N1266">
            <v>1</v>
          </cell>
          <cell r="P1266">
            <v>0</v>
          </cell>
          <cell r="R1266">
            <v>54.4</v>
          </cell>
        </row>
        <row r="1267">
          <cell r="C1267" t="str">
            <v>Treatment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M1267">
            <v>0</v>
          </cell>
          <cell r="N1267">
            <v>0</v>
          </cell>
          <cell r="P1267">
            <v>0</v>
          </cell>
          <cell r="R1267">
            <v>33.700000000000003</v>
          </cell>
        </row>
        <row r="1268">
          <cell r="C1268" t="str">
            <v>Treatment</v>
          </cell>
          <cell r="H1268">
            <v>1</v>
          </cell>
          <cell r="I1268">
            <v>0</v>
          </cell>
          <cell r="J1268">
            <v>0</v>
          </cell>
          <cell r="K1268">
            <v>0</v>
          </cell>
          <cell r="M1268">
            <v>0</v>
          </cell>
          <cell r="N1268">
            <v>0</v>
          </cell>
          <cell r="P1268">
            <v>0</v>
          </cell>
          <cell r="R1268">
            <v>72.7</v>
          </cell>
        </row>
        <row r="1269">
          <cell r="C1269" t="str">
            <v>Treatment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M1269">
            <v>0</v>
          </cell>
          <cell r="N1269">
            <v>0</v>
          </cell>
          <cell r="P1269">
            <v>0</v>
          </cell>
          <cell r="R1269">
            <v>64.7</v>
          </cell>
        </row>
        <row r="1270">
          <cell r="C1270" t="str">
            <v>Treatment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M1270">
            <v>0</v>
          </cell>
          <cell r="N1270">
            <v>1</v>
          </cell>
          <cell r="P1270">
            <v>0</v>
          </cell>
          <cell r="R1270">
            <v>48.6</v>
          </cell>
        </row>
        <row r="1271">
          <cell r="C1271" t="str">
            <v>Treatment</v>
          </cell>
          <cell r="H1271">
            <v>1</v>
          </cell>
          <cell r="I1271">
            <v>1</v>
          </cell>
          <cell r="J1271">
            <v>0</v>
          </cell>
          <cell r="K1271">
            <v>0</v>
          </cell>
          <cell r="M1271">
            <v>0</v>
          </cell>
          <cell r="N1271">
            <v>0</v>
          </cell>
          <cell r="P1271">
            <v>0</v>
          </cell>
          <cell r="R1271">
            <v>66.2</v>
          </cell>
        </row>
        <row r="1272">
          <cell r="C1272" t="str">
            <v>Treatment</v>
          </cell>
          <cell r="H1272">
            <v>1</v>
          </cell>
          <cell r="I1272">
            <v>0</v>
          </cell>
          <cell r="J1272">
            <v>0</v>
          </cell>
          <cell r="K1272">
            <v>0</v>
          </cell>
          <cell r="M1272">
            <v>0</v>
          </cell>
          <cell r="N1272">
            <v>1</v>
          </cell>
          <cell r="P1272">
            <v>0</v>
          </cell>
          <cell r="R1272">
            <v>60.7</v>
          </cell>
        </row>
        <row r="1273">
          <cell r="C1273" t="str">
            <v>Treatment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M1273">
            <v>0</v>
          </cell>
          <cell r="N1273">
            <v>0</v>
          </cell>
          <cell r="P1273">
            <v>0</v>
          </cell>
          <cell r="R1273">
            <v>36.5</v>
          </cell>
        </row>
        <row r="1274">
          <cell r="C1274" t="str">
            <v>Treatment</v>
          </cell>
          <cell r="H1274">
            <v>1</v>
          </cell>
          <cell r="I1274">
            <v>1</v>
          </cell>
          <cell r="J1274">
            <v>1</v>
          </cell>
          <cell r="K1274">
            <v>0</v>
          </cell>
          <cell r="M1274">
            <v>0</v>
          </cell>
          <cell r="N1274">
            <v>3</v>
          </cell>
          <cell r="P1274">
            <v>0</v>
          </cell>
          <cell r="R1274">
            <v>69.7</v>
          </cell>
        </row>
        <row r="1275">
          <cell r="C1275" t="str">
            <v>Treatment</v>
          </cell>
          <cell r="H1275">
            <v>1</v>
          </cell>
          <cell r="I1275">
            <v>0</v>
          </cell>
          <cell r="J1275">
            <v>0</v>
          </cell>
          <cell r="K1275">
            <v>0</v>
          </cell>
          <cell r="M1275">
            <v>0</v>
          </cell>
          <cell r="N1275">
            <v>0</v>
          </cell>
          <cell r="P1275">
            <v>0</v>
          </cell>
          <cell r="R1275">
            <v>81.8</v>
          </cell>
        </row>
        <row r="1276">
          <cell r="C1276" t="str">
            <v>Treatment</v>
          </cell>
          <cell r="H1276">
            <v>1</v>
          </cell>
          <cell r="I1276">
            <v>1</v>
          </cell>
          <cell r="J1276">
            <v>1</v>
          </cell>
          <cell r="K1276">
            <v>0</v>
          </cell>
          <cell r="M1276">
            <v>0</v>
          </cell>
          <cell r="N1276">
            <v>1</v>
          </cell>
          <cell r="P1276">
            <v>0</v>
          </cell>
          <cell r="R1276">
            <v>78.3</v>
          </cell>
        </row>
        <row r="1277">
          <cell r="C1277" t="str">
            <v>Treatment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M1277">
            <v>0</v>
          </cell>
          <cell r="N1277">
            <v>0</v>
          </cell>
          <cell r="P1277">
            <v>0</v>
          </cell>
          <cell r="R1277">
            <v>79.400000000000006</v>
          </cell>
        </row>
        <row r="1278">
          <cell r="C1278" t="str">
            <v>Treatment</v>
          </cell>
          <cell r="H1278">
            <v>1</v>
          </cell>
          <cell r="I1278">
            <v>1</v>
          </cell>
          <cell r="J1278">
            <v>1</v>
          </cell>
          <cell r="K1278">
            <v>0</v>
          </cell>
          <cell r="M1278">
            <v>0</v>
          </cell>
          <cell r="N1278">
            <v>0</v>
          </cell>
          <cell r="P1278">
            <v>0</v>
          </cell>
          <cell r="R1278">
            <v>54.9</v>
          </cell>
        </row>
        <row r="1279">
          <cell r="C1279" t="str">
            <v>Treatment</v>
          </cell>
          <cell r="H1279">
            <v>1</v>
          </cell>
          <cell r="I1279">
            <v>0</v>
          </cell>
          <cell r="J1279">
            <v>0</v>
          </cell>
          <cell r="K1279">
            <v>0</v>
          </cell>
          <cell r="M1279">
            <v>0</v>
          </cell>
          <cell r="N1279">
            <v>0</v>
          </cell>
          <cell r="P1279">
            <v>0</v>
          </cell>
          <cell r="R1279">
            <v>54.9</v>
          </cell>
        </row>
        <row r="1280">
          <cell r="C1280" t="str">
            <v>Treatment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M1280">
            <v>0</v>
          </cell>
          <cell r="N1280">
            <v>0</v>
          </cell>
          <cell r="P1280">
            <v>0</v>
          </cell>
          <cell r="R1280">
            <v>28.7</v>
          </cell>
        </row>
        <row r="1281">
          <cell r="C1281" t="str">
            <v>Treatment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M1281">
            <v>0</v>
          </cell>
          <cell r="N1281">
            <v>0</v>
          </cell>
          <cell r="P1281">
            <v>0</v>
          </cell>
          <cell r="R1281">
            <v>68.8</v>
          </cell>
        </row>
        <row r="1282">
          <cell r="C1282" t="str">
            <v>Treatment</v>
          </cell>
          <cell r="H1282">
            <v>1</v>
          </cell>
          <cell r="I1282">
            <v>1</v>
          </cell>
          <cell r="J1282">
            <v>1</v>
          </cell>
          <cell r="K1282">
            <v>0</v>
          </cell>
          <cell r="M1282">
            <v>0</v>
          </cell>
          <cell r="N1282">
            <v>0</v>
          </cell>
          <cell r="P1282">
            <v>0</v>
          </cell>
          <cell r="R1282">
            <v>43.5</v>
          </cell>
        </row>
        <row r="1283">
          <cell r="C1283" t="str">
            <v>Treatment</v>
          </cell>
          <cell r="H1283">
            <v>1</v>
          </cell>
          <cell r="I1283">
            <v>1</v>
          </cell>
          <cell r="J1283">
            <v>0</v>
          </cell>
          <cell r="K1283">
            <v>0</v>
          </cell>
          <cell r="M1283">
            <v>0</v>
          </cell>
          <cell r="N1283">
            <v>0</v>
          </cell>
          <cell r="P1283">
            <v>0</v>
          </cell>
          <cell r="R1283">
            <v>62.6</v>
          </cell>
        </row>
        <row r="1284">
          <cell r="C1284" t="str">
            <v>Treatment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M1284">
            <v>0</v>
          </cell>
          <cell r="N1284">
            <v>1</v>
          </cell>
          <cell r="P1284">
            <v>0</v>
          </cell>
          <cell r="R1284">
            <v>54.1</v>
          </cell>
        </row>
        <row r="1285">
          <cell r="C1285" t="str">
            <v>Treatment</v>
          </cell>
          <cell r="H1285">
            <v>1</v>
          </cell>
          <cell r="I1285">
            <v>1</v>
          </cell>
          <cell r="J1285">
            <v>1</v>
          </cell>
          <cell r="K1285">
            <v>0</v>
          </cell>
          <cell r="M1285">
            <v>0</v>
          </cell>
          <cell r="N1285">
            <v>0</v>
          </cell>
          <cell r="P1285">
            <v>0</v>
          </cell>
          <cell r="R1285">
            <v>80.099999999999994</v>
          </cell>
        </row>
        <row r="1286">
          <cell r="C1286" t="str">
            <v>Treatment</v>
          </cell>
          <cell r="H1286">
            <v>1</v>
          </cell>
          <cell r="I1286">
            <v>0</v>
          </cell>
          <cell r="J1286">
            <v>0</v>
          </cell>
          <cell r="K1286">
            <v>0</v>
          </cell>
          <cell r="M1286">
            <v>0</v>
          </cell>
          <cell r="N1286">
            <v>0</v>
          </cell>
          <cell r="P1286">
            <v>0</v>
          </cell>
          <cell r="R1286">
            <v>69.5</v>
          </cell>
        </row>
        <row r="1287">
          <cell r="C1287" t="str">
            <v>Treatment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M1287">
            <v>0</v>
          </cell>
          <cell r="N1287">
            <v>2</v>
          </cell>
          <cell r="P1287">
            <v>0</v>
          </cell>
          <cell r="R1287">
            <v>46.6</v>
          </cell>
        </row>
        <row r="1288">
          <cell r="C1288" t="str">
            <v>Treatment</v>
          </cell>
          <cell r="H1288">
            <v>1</v>
          </cell>
          <cell r="I1288">
            <v>0</v>
          </cell>
          <cell r="J1288">
            <v>0</v>
          </cell>
          <cell r="K1288">
            <v>0</v>
          </cell>
          <cell r="M1288">
            <v>0</v>
          </cell>
          <cell r="N1288">
            <v>1</v>
          </cell>
          <cell r="P1288">
            <v>0</v>
          </cell>
          <cell r="R1288">
            <v>54.9</v>
          </cell>
        </row>
        <row r="1289">
          <cell r="C1289" t="str">
            <v>Treatment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M1289">
            <v>0</v>
          </cell>
          <cell r="N1289">
            <v>0</v>
          </cell>
          <cell r="P1289">
            <v>0</v>
          </cell>
          <cell r="R1289">
            <v>100</v>
          </cell>
        </row>
        <row r="1290">
          <cell r="C1290" t="str">
            <v>Treatment</v>
          </cell>
          <cell r="H1290">
            <v>1</v>
          </cell>
          <cell r="I1290">
            <v>1</v>
          </cell>
          <cell r="J1290">
            <v>1</v>
          </cell>
          <cell r="K1290">
            <v>0</v>
          </cell>
          <cell r="M1290">
            <v>0</v>
          </cell>
          <cell r="N1290">
            <v>1</v>
          </cell>
          <cell r="P1290">
            <v>0</v>
          </cell>
          <cell r="R1290">
            <v>80.5</v>
          </cell>
        </row>
        <row r="1291">
          <cell r="C1291" t="str">
            <v>Treatment</v>
          </cell>
          <cell r="H1291">
            <v>1</v>
          </cell>
          <cell r="I1291">
            <v>0</v>
          </cell>
          <cell r="J1291">
            <v>0</v>
          </cell>
          <cell r="K1291">
            <v>0</v>
          </cell>
          <cell r="M1291">
            <v>0</v>
          </cell>
          <cell r="N1291">
            <v>0</v>
          </cell>
          <cell r="P1291">
            <v>0</v>
          </cell>
          <cell r="R1291">
            <v>51.2</v>
          </cell>
        </row>
        <row r="1292">
          <cell r="C1292" t="str">
            <v>Treatment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M1292">
            <v>0</v>
          </cell>
          <cell r="N1292">
            <v>0</v>
          </cell>
          <cell r="P1292">
            <v>0</v>
          </cell>
          <cell r="R1292">
            <v>42.5</v>
          </cell>
        </row>
        <row r="1293">
          <cell r="C1293" t="str">
            <v>Treatment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M1293">
            <v>0</v>
          </cell>
          <cell r="N1293">
            <v>0</v>
          </cell>
          <cell r="P1293">
            <v>0</v>
          </cell>
          <cell r="R1293">
            <v>72.5</v>
          </cell>
        </row>
        <row r="1294">
          <cell r="C1294" t="str">
            <v>Treatment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M1294">
            <v>0</v>
          </cell>
          <cell r="N1294">
            <v>0</v>
          </cell>
          <cell r="P1294">
            <v>0</v>
          </cell>
          <cell r="R1294">
            <v>74.400000000000006</v>
          </cell>
        </row>
        <row r="1295">
          <cell r="C1295" t="str">
            <v>Treatment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M1295">
            <v>0</v>
          </cell>
          <cell r="N1295">
            <v>0</v>
          </cell>
          <cell r="P1295">
            <v>0</v>
          </cell>
          <cell r="R1295">
            <v>78.400000000000006</v>
          </cell>
        </row>
        <row r="1296">
          <cell r="C1296" t="str">
            <v>Treatment</v>
          </cell>
          <cell r="H1296">
            <v>1</v>
          </cell>
          <cell r="I1296">
            <v>0</v>
          </cell>
          <cell r="J1296">
            <v>0</v>
          </cell>
          <cell r="K1296">
            <v>0</v>
          </cell>
          <cell r="M1296">
            <v>0</v>
          </cell>
          <cell r="N1296">
            <v>0</v>
          </cell>
          <cell r="P1296">
            <v>0</v>
          </cell>
          <cell r="R1296">
            <v>71.5</v>
          </cell>
        </row>
        <row r="1297">
          <cell r="C1297" t="str">
            <v>Treatment</v>
          </cell>
          <cell r="H1297">
            <v>1</v>
          </cell>
          <cell r="I1297">
            <v>0</v>
          </cell>
          <cell r="J1297">
            <v>0</v>
          </cell>
          <cell r="K1297">
            <v>0</v>
          </cell>
          <cell r="M1297">
            <v>0</v>
          </cell>
          <cell r="N1297">
            <v>0</v>
          </cell>
          <cell r="P1297">
            <v>0</v>
          </cell>
          <cell r="R1297">
            <v>66.7</v>
          </cell>
        </row>
        <row r="1298">
          <cell r="C1298" t="str">
            <v>Treatment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M1298">
            <v>1496.09</v>
          </cell>
          <cell r="N1298">
            <v>0</v>
          </cell>
          <cell r="P1298">
            <v>0</v>
          </cell>
          <cell r="Q1298">
            <v>7</v>
          </cell>
          <cell r="R1298">
            <v>60.4</v>
          </cell>
        </row>
        <row r="1299">
          <cell r="C1299" t="str">
            <v>Treatment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M1299">
            <v>0</v>
          </cell>
          <cell r="N1299">
            <v>1</v>
          </cell>
          <cell r="P1299">
            <v>0</v>
          </cell>
          <cell r="R1299">
            <v>72.900000000000006</v>
          </cell>
        </row>
        <row r="1300">
          <cell r="C1300" t="str">
            <v>Treatment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M1300">
            <v>0</v>
          </cell>
          <cell r="N1300">
            <v>3</v>
          </cell>
          <cell r="P1300">
            <v>0</v>
          </cell>
        </row>
        <row r="1301">
          <cell r="C1301" t="str">
            <v>Treatment</v>
          </cell>
          <cell r="H1301">
            <v>1</v>
          </cell>
          <cell r="I1301">
            <v>0</v>
          </cell>
          <cell r="J1301">
            <v>0</v>
          </cell>
          <cell r="K1301">
            <v>0</v>
          </cell>
          <cell r="M1301">
            <v>0</v>
          </cell>
          <cell r="N1301">
            <v>0</v>
          </cell>
          <cell r="P1301">
            <v>0</v>
          </cell>
          <cell r="R1301">
            <v>55.2</v>
          </cell>
        </row>
        <row r="1302">
          <cell r="C1302" t="str">
            <v>Treatment</v>
          </cell>
          <cell r="H1302">
            <v>1</v>
          </cell>
          <cell r="I1302">
            <v>0</v>
          </cell>
          <cell r="J1302">
            <v>0</v>
          </cell>
          <cell r="K1302">
            <v>0</v>
          </cell>
          <cell r="M1302">
            <v>0</v>
          </cell>
          <cell r="N1302">
            <v>0</v>
          </cell>
          <cell r="P1302">
            <v>0</v>
          </cell>
          <cell r="R1302">
            <v>67.8</v>
          </cell>
        </row>
        <row r="1303">
          <cell r="C1303" t="str">
            <v>Treatment</v>
          </cell>
          <cell r="H1303">
            <v>1</v>
          </cell>
          <cell r="I1303">
            <v>0</v>
          </cell>
          <cell r="J1303">
            <v>0</v>
          </cell>
          <cell r="K1303">
            <v>0</v>
          </cell>
          <cell r="M1303">
            <v>0</v>
          </cell>
          <cell r="N1303">
            <v>2</v>
          </cell>
          <cell r="P1303">
            <v>0</v>
          </cell>
          <cell r="R1303">
            <v>70</v>
          </cell>
        </row>
        <row r="1304">
          <cell r="C1304" t="str">
            <v>Treatment</v>
          </cell>
          <cell r="H1304">
            <v>1</v>
          </cell>
          <cell r="I1304">
            <v>1</v>
          </cell>
          <cell r="J1304">
            <v>1</v>
          </cell>
          <cell r="K1304">
            <v>0</v>
          </cell>
          <cell r="M1304">
            <v>0</v>
          </cell>
          <cell r="N1304">
            <v>0</v>
          </cell>
          <cell r="P1304">
            <v>0</v>
          </cell>
          <cell r="R1304">
            <v>51.1</v>
          </cell>
        </row>
        <row r="1305">
          <cell r="C1305" t="str">
            <v>Treatment</v>
          </cell>
          <cell r="H1305">
            <v>1</v>
          </cell>
          <cell r="I1305">
            <v>1</v>
          </cell>
          <cell r="J1305">
            <v>1</v>
          </cell>
          <cell r="K1305">
            <v>0</v>
          </cell>
          <cell r="M1305">
            <v>0</v>
          </cell>
          <cell r="N1305">
            <v>0</v>
          </cell>
          <cell r="P1305">
            <v>0</v>
          </cell>
          <cell r="R1305">
            <v>57</v>
          </cell>
        </row>
        <row r="1306">
          <cell r="C1306" t="str">
            <v>Treatment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M1306">
            <v>0</v>
          </cell>
          <cell r="N1306">
            <v>1</v>
          </cell>
          <cell r="P1306">
            <v>0</v>
          </cell>
          <cell r="R1306">
            <v>47.1</v>
          </cell>
        </row>
        <row r="1307">
          <cell r="C1307" t="str">
            <v>Treatment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M1307">
            <v>0</v>
          </cell>
          <cell r="N1307">
            <v>0</v>
          </cell>
          <cell r="P1307">
            <v>0</v>
          </cell>
          <cell r="R1307">
            <v>30.7</v>
          </cell>
        </row>
        <row r="1308">
          <cell r="C1308" t="str">
            <v>Treatment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M1308">
            <v>0</v>
          </cell>
          <cell r="N1308">
            <v>0</v>
          </cell>
          <cell r="P1308">
            <v>0</v>
          </cell>
          <cell r="R1308">
            <v>57.3</v>
          </cell>
        </row>
        <row r="1309">
          <cell r="C1309" t="str">
            <v>Treatment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M1309">
            <v>0</v>
          </cell>
          <cell r="N1309">
            <v>0</v>
          </cell>
          <cell r="P1309">
            <v>0</v>
          </cell>
          <cell r="R1309">
            <v>70</v>
          </cell>
        </row>
        <row r="1310">
          <cell r="C1310" t="str">
            <v>Treatment</v>
          </cell>
          <cell r="H1310">
            <v>1</v>
          </cell>
          <cell r="I1310">
            <v>1</v>
          </cell>
          <cell r="J1310">
            <v>1</v>
          </cell>
          <cell r="K1310">
            <v>0</v>
          </cell>
          <cell r="M1310">
            <v>0</v>
          </cell>
          <cell r="N1310">
            <v>0</v>
          </cell>
          <cell r="P1310">
            <v>0</v>
          </cell>
          <cell r="R1310">
            <v>59.7</v>
          </cell>
        </row>
        <row r="1311">
          <cell r="C1311" t="str">
            <v>Treatment</v>
          </cell>
          <cell r="H1311">
            <v>1</v>
          </cell>
          <cell r="I1311">
            <v>0</v>
          </cell>
          <cell r="J1311">
            <v>0</v>
          </cell>
          <cell r="K1311">
            <v>0</v>
          </cell>
          <cell r="M1311">
            <v>0</v>
          </cell>
          <cell r="N1311">
            <v>0</v>
          </cell>
          <cell r="P1311">
            <v>0</v>
          </cell>
          <cell r="R1311">
            <v>68.8</v>
          </cell>
        </row>
        <row r="1312">
          <cell r="C1312" t="str">
            <v>Treatment</v>
          </cell>
          <cell r="H1312">
            <v>1</v>
          </cell>
          <cell r="I1312">
            <v>1</v>
          </cell>
          <cell r="J1312">
            <v>1</v>
          </cell>
          <cell r="K1312">
            <v>1</v>
          </cell>
          <cell r="M1312">
            <v>428.37</v>
          </cell>
          <cell r="N1312">
            <v>0</v>
          </cell>
          <cell r="P1312">
            <v>0</v>
          </cell>
          <cell r="Q1312">
            <v>9</v>
          </cell>
          <cell r="R1312">
            <v>88.3</v>
          </cell>
        </row>
        <row r="1313">
          <cell r="C1313" t="str">
            <v>Treatment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M1313">
            <v>0</v>
          </cell>
          <cell r="N1313">
            <v>0</v>
          </cell>
          <cell r="P1313">
            <v>0</v>
          </cell>
          <cell r="R1313">
            <v>83.4</v>
          </cell>
        </row>
        <row r="1314">
          <cell r="C1314" t="str">
            <v>Treatment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M1314">
            <v>0</v>
          </cell>
          <cell r="N1314">
            <v>1</v>
          </cell>
          <cell r="P1314">
            <v>0</v>
          </cell>
          <cell r="R1314">
            <v>81.599999999999994</v>
          </cell>
        </row>
        <row r="1315">
          <cell r="C1315" t="str">
            <v>Treatment</v>
          </cell>
          <cell r="H1315">
            <v>1</v>
          </cell>
          <cell r="I1315">
            <v>0</v>
          </cell>
          <cell r="J1315">
            <v>0</v>
          </cell>
          <cell r="K1315">
            <v>0</v>
          </cell>
          <cell r="M1315">
            <v>0</v>
          </cell>
          <cell r="N1315">
            <v>0</v>
          </cell>
          <cell r="P1315">
            <v>0</v>
          </cell>
          <cell r="R1315">
            <v>91.6</v>
          </cell>
        </row>
        <row r="1316">
          <cell r="C1316" t="str">
            <v>Treatment</v>
          </cell>
          <cell r="H1316">
            <v>1</v>
          </cell>
          <cell r="I1316">
            <v>1</v>
          </cell>
          <cell r="J1316">
            <v>1</v>
          </cell>
          <cell r="K1316">
            <v>0</v>
          </cell>
          <cell r="M1316">
            <v>0</v>
          </cell>
          <cell r="N1316">
            <v>1</v>
          </cell>
          <cell r="P1316">
            <v>0</v>
          </cell>
          <cell r="R1316">
            <v>61.5</v>
          </cell>
        </row>
        <row r="1317">
          <cell r="C1317" t="str">
            <v>Treatment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M1317">
            <v>0</v>
          </cell>
          <cell r="N1317">
            <v>0</v>
          </cell>
          <cell r="P1317">
            <v>0</v>
          </cell>
        </row>
        <row r="1318">
          <cell r="C1318" t="str">
            <v>Treatment</v>
          </cell>
          <cell r="H1318">
            <v>1</v>
          </cell>
          <cell r="I1318">
            <v>0</v>
          </cell>
          <cell r="J1318">
            <v>0</v>
          </cell>
          <cell r="K1318">
            <v>0</v>
          </cell>
          <cell r="M1318">
            <v>0</v>
          </cell>
          <cell r="N1318">
            <v>0</v>
          </cell>
          <cell r="P1318">
            <v>0</v>
          </cell>
          <cell r="R1318">
            <v>32.6</v>
          </cell>
        </row>
        <row r="1319">
          <cell r="C1319" t="str">
            <v>Treatment</v>
          </cell>
          <cell r="H1319">
            <v>1</v>
          </cell>
          <cell r="I1319">
            <v>0</v>
          </cell>
          <cell r="J1319">
            <v>0</v>
          </cell>
          <cell r="K1319">
            <v>0</v>
          </cell>
          <cell r="M1319">
            <v>0</v>
          </cell>
          <cell r="N1319">
            <v>0</v>
          </cell>
          <cell r="P1319">
            <v>0</v>
          </cell>
          <cell r="R1319">
            <v>73.900000000000006</v>
          </cell>
        </row>
        <row r="1320">
          <cell r="C1320" t="str">
            <v>Treatment</v>
          </cell>
          <cell r="H1320">
            <v>1</v>
          </cell>
          <cell r="I1320">
            <v>1</v>
          </cell>
          <cell r="J1320">
            <v>1</v>
          </cell>
          <cell r="K1320">
            <v>1</v>
          </cell>
          <cell r="M1320">
            <v>444.06</v>
          </cell>
          <cell r="N1320">
            <v>0</v>
          </cell>
          <cell r="P1320">
            <v>0</v>
          </cell>
          <cell r="Q1320">
            <v>9</v>
          </cell>
          <cell r="R1320">
            <v>99.9</v>
          </cell>
        </row>
        <row r="1321">
          <cell r="C1321" t="str">
            <v>Treatment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M1321">
            <v>0</v>
          </cell>
          <cell r="N1321">
            <v>1</v>
          </cell>
          <cell r="P1321">
            <v>0</v>
          </cell>
          <cell r="R1321">
            <v>62.4</v>
          </cell>
        </row>
        <row r="1322">
          <cell r="C1322" t="str">
            <v>Treatment</v>
          </cell>
          <cell r="H1322">
            <v>1</v>
          </cell>
          <cell r="I1322">
            <v>0</v>
          </cell>
          <cell r="J1322">
            <v>0</v>
          </cell>
          <cell r="K1322">
            <v>0</v>
          </cell>
          <cell r="M1322">
            <v>0</v>
          </cell>
          <cell r="N1322">
            <v>0</v>
          </cell>
          <cell r="P1322">
            <v>0</v>
          </cell>
          <cell r="R1322">
            <v>46.1</v>
          </cell>
        </row>
        <row r="1323">
          <cell r="C1323" t="str">
            <v>Treatment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M1323">
            <v>1496.19</v>
          </cell>
          <cell r="N1323">
            <v>0</v>
          </cell>
          <cell r="P1323">
            <v>0</v>
          </cell>
          <cell r="Q1323">
            <v>3</v>
          </cell>
          <cell r="R1323">
            <v>73.900000000000006</v>
          </cell>
        </row>
        <row r="1324">
          <cell r="C1324" t="str">
            <v>Treatment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M1324">
            <v>0</v>
          </cell>
          <cell r="N1324">
            <v>0</v>
          </cell>
          <cell r="P1324">
            <v>0</v>
          </cell>
          <cell r="R1324">
            <v>90</v>
          </cell>
        </row>
        <row r="1325">
          <cell r="C1325" t="str">
            <v>Treatment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M1325">
            <v>0</v>
          </cell>
          <cell r="N1325">
            <v>1</v>
          </cell>
          <cell r="P1325">
            <v>0</v>
          </cell>
          <cell r="R1325">
            <v>68.8</v>
          </cell>
        </row>
        <row r="1326">
          <cell r="C1326" t="str">
            <v>Treatment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M1326">
            <v>0</v>
          </cell>
          <cell r="N1326">
            <v>0</v>
          </cell>
          <cell r="P1326">
            <v>0</v>
          </cell>
          <cell r="R1326">
            <v>66.599999999999994</v>
          </cell>
        </row>
        <row r="1327">
          <cell r="C1327" t="str">
            <v>Treatment</v>
          </cell>
          <cell r="H1327">
            <v>1</v>
          </cell>
          <cell r="I1327">
            <v>0</v>
          </cell>
          <cell r="J1327">
            <v>0</v>
          </cell>
          <cell r="K1327">
            <v>0</v>
          </cell>
          <cell r="M1327">
            <v>0</v>
          </cell>
          <cell r="N1327">
            <v>0</v>
          </cell>
          <cell r="P1327">
            <v>0</v>
          </cell>
          <cell r="R1327">
            <v>49.7</v>
          </cell>
        </row>
        <row r="1328">
          <cell r="C1328" t="str">
            <v>Treatment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M1328">
            <v>0</v>
          </cell>
          <cell r="N1328">
            <v>0</v>
          </cell>
          <cell r="P1328">
            <v>0</v>
          </cell>
          <cell r="R1328">
            <v>67.900000000000006</v>
          </cell>
        </row>
        <row r="1329">
          <cell r="C1329" t="str">
            <v>Treatment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M1329">
            <v>0</v>
          </cell>
          <cell r="N1329">
            <v>0</v>
          </cell>
          <cell r="P1329">
            <v>0</v>
          </cell>
          <cell r="R1329">
            <v>66.900000000000006</v>
          </cell>
        </row>
        <row r="1330">
          <cell r="C1330" t="str">
            <v>Treatment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M1330">
            <v>0</v>
          </cell>
          <cell r="N1330">
            <v>0</v>
          </cell>
          <cell r="P1330">
            <v>0</v>
          </cell>
          <cell r="R1330">
            <v>46.1</v>
          </cell>
        </row>
        <row r="1331">
          <cell r="C1331" t="str">
            <v>Treatment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M1331">
            <v>0</v>
          </cell>
          <cell r="N1331">
            <v>0</v>
          </cell>
          <cell r="P1331">
            <v>0</v>
          </cell>
          <cell r="R1331">
            <v>85.6</v>
          </cell>
        </row>
        <row r="1332">
          <cell r="C1332" t="str">
            <v>Treatment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M1332">
            <v>0</v>
          </cell>
          <cell r="N1332">
            <v>0</v>
          </cell>
          <cell r="P1332">
            <v>0</v>
          </cell>
          <cell r="R1332">
            <v>39.6</v>
          </cell>
        </row>
        <row r="1333">
          <cell r="C1333" t="str">
            <v>Treatment</v>
          </cell>
          <cell r="H1333">
            <v>1</v>
          </cell>
          <cell r="I1333">
            <v>0</v>
          </cell>
          <cell r="J1333">
            <v>0</v>
          </cell>
          <cell r="K1333">
            <v>0</v>
          </cell>
          <cell r="M1333">
            <v>0</v>
          </cell>
          <cell r="N1333">
            <v>0</v>
          </cell>
          <cell r="P1333">
            <v>0</v>
          </cell>
          <cell r="R1333">
            <v>52.5</v>
          </cell>
        </row>
        <row r="1334">
          <cell r="C1334" t="str">
            <v>Treatment</v>
          </cell>
          <cell r="H1334">
            <v>1</v>
          </cell>
          <cell r="I1334">
            <v>0</v>
          </cell>
          <cell r="J1334">
            <v>0</v>
          </cell>
          <cell r="K1334">
            <v>0</v>
          </cell>
          <cell r="M1334">
            <v>0</v>
          </cell>
          <cell r="N1334">
            <v>0</v>
          </cell>
          <cell r="P1334">
            <v>0</v>
          </cell>
          <cell r="R1334">
            <v>73.5</v>
          </cell>
        </row>
        <row r="1335">
          <cell r="C1335" t="str">
            <v>Treatment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M1335">
            <v>0</v>
          </cell>
          <cell r="N1335">
            <v>0</v>
          </cell>
          <cell r="P1335">
            <v>0</v>
          </cell>
          <cell r="R1335">
            <v>62.5</v>
          </cell>
        </row>
        <row r="1336">
          <cell r="C1336" t="str">
            <v>Treatment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M1336">
            <v>0</v>
          </cell>
          <cell r="N1336">
            <v>0</v>
          </cell>
          <cell r="P1336">
            <v>0</v>
          </cell>
          <cell r="R1336">
            <v>76.900000000000006</v>
          </cell>
        </row>
        <row r="1337">
          <cell r="C1337" t="str">
            <v>Treatment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M1337">
            <v>0</v>
          </cell>
          <cell r="N1337">
            <v>0</v>
          </cell>
          <cell r="P1337">
            <v>0</v>
          </cell>
          <cell r="R1337">
            <v>51.4</v>
          </cell>
        </row>
        <row r="1338">
          <cell r="C1338" t="str">
            <v>Treatment</v>
          </cell>
          <cell r="H1338">
            <v>1</v>
          </cell>
          <cell r="I1338">
            <v>0</v>
          </cell>
          <cell r="J1338">
            <v>0</v>
          </cell>
          <cell r="K1338">
            <v>0</v>
          </cell>
          <cell r="M1338">
            <v>0</v>
          </cell>
          <cell r="N1338">
            <v>0</v>
          </cell>
          <cell r="P1338">
            <v>0</v>
          </cell>
          <cell r="R1338">
            <v>59.3</v>
          </cell>
        </row>
        <row r="1339">
          <cell r="C1339" t="str">
            <v>Treatment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M1339">
            <v>0</v>
          </cell>
          <cell r="N1339">
            <v>0</v>
          </cell>
          <cell r="P1339">
            <v>0</v>
          </cell>
          <cell r="R1339">
            <v>74.900000000000006</v>
          </cell>
        </row>
        <row r="1340">
          <cell r="C1340" t="str">
            <v>Treatment</v>
          </cell>
          <cell r="H1340">
            <v>1</v>
          </cell>
          <cell r="I1340">
            <v>0</v>
          </cell>
          <cell r="J1340">
            <v>0</v>
          </cell>
          <cell r="K1340">
            <v>0</v>
          </cell>
          <cell r="M1340">
            <v>0</v>
          </cell>
          <cell r="N1340">
            <v>0</v>
          </cell>
          <cell r="P1340">
            <v>0</v>
          </cell>
          <cell r="R1340">
            <v>67</v>
          </cell>
        </row>
        <row r="1341">
          <cell r="C1341" t="str">
            <v>Treatment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M1341">
            <v>0</v>
          </cell>
          <cell r="N1341">
            <v>0</v>
          </cell>
          <cell r="P1341">
            <v>0</v>
          </cell>
          <cell r="R1341">
            <v>63.6</v>
          </cell>
        </row>
        <row r="1342">
          <cell r="C1342" t="str">
            <v>Treatment</v>
          </cell>
          <cell r="H1342">
            <v>1</v>
          </cell>
          <cell r="I1342">
            <v>1</v>
          </cell>
          <cell r="J1342">
            <v>0</v>
          </cell>
          <cell r="K1342">
            <v>0</v>
          </cell>
          <cell r="M1342">
            <v>0</v>
          </cell>
          <cell r="N1342">
            <v>1</v>
          </cell>
          <cell r="P1342">
            <v>0</v>
          </cell>
          <cell r="R1342">
            <v>58.4</v>
          </cell>
        </row>
        <row r="1343">
          <cell r="C1343" t="str">
            <v>Treatment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M1343">
            <v>0</v>
          </cell>
          <cell r="N1343">
            <v>0</v>
          </cell>
          <cell r="P1343">
            <v>0</v>
          </cell>
          <cell r="R1343">
            <v>36.799999999999997</v>
          </cell>
        </row>
        <row r="1344">
          <cell r="C1344" t="str">
            <v>Treatment</v>
          </cell>
          <cell r="H1344">
            <v>1</v>
          </cell>
          <cell r="I1344">
            <v>0</v>
          </cell>
          <cell r="J1344">
            <v>0</v>
          </cell>
          <cell r="K1344">
            <v>0</v>
          </cell>
          <cell r="M1344">
            <v>0</v>
          </cell>
          <cell r="N1344">
            <v>0</v>
          </cell>
          <cell r="P1344">
            <v>0</v>
          </cell>
          <cell r="R1344">
            <v>71.599999999999994</v>
          </cell>
        </row>
        <row r="1345">
          <cell r="C1345" t="str">
            <v>Treatment</v>
          </cell>
          <cell r="H1345">
            <v>1</v>
          </cell>
          <cell r="I1345">
            <v>1</v>
          </cell>
          <cell r="J1345">
            <v>0</v>
          </cell>
          <cell r="K1345">
            <v>0</v>
          </cell>
          <cell r="M1345">
            <v>0</v>
          </cell>
          <cell r="N1345">
            <v>1</v>
          </cell>
          <cell r="P1345">
            <v>0</v>
          </cell>
          <cell r="R1345">
            <v>79.7</v>
          </cell>
        </row>
        <row r="1346">
          <cell r="C1346" t="str">
            <v>Treatment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M1346">
            <v>0</v>
          </cell>
          <cell r="N1346">
            <v>1</v>
          </cell>
          <cell r="P1346">
            <v>0</v>
          </cell>
          <cell r="R1346">
            <v>56.5</v>
          </cell>
        </row>
        <row r="1347">
          <cell r="C1347" t="str">
            <v>Treatment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M1347">
            <v>0</v>
          </cell>
          <cell r="N1347">
            <v>0</v>
          </cell>
          <cell r="P1347">
            <v>0</v>
          </cell>
          <cell r="R1347">
            <v>44.7</v>
          </cell>
        </row>
        <row r="1348">
          <cell r="C1348" t="str">
            <v>Treatment</v>
          </cell>
          <cell r="H1348">
            <v>1</v>
          </cell>
          <cell r="I1348">
            <v>1</v>
          </cell>
          <cell r="J1348">
            <v>1</v>
          </cell>
          <cell r="K1348">
            <v>0</v>
          </cell>
          <cell r="M1348">
            <v>0</v>
          </cell>
          <cell r="N1348">
            <v>1</v>
          </cell>
          <cell r="P1348">
            <v>0</v>
          </cell>
          <cell r="R1348">
            <v>66</v>
          </cell>
        </row>
        <row r="1349">
          <cell r="C1349" t="str">
            <v>Treatment</v>
          </cell>
          <cell r="H1349">
            <v>1</v>
          </cell>
          <cell r="I1349">
            <v>0</v>
          </cell>
          <cell r="J1349">
            <v>0</v>
          </cell>
          <cell r="K1349">
            <v>0</v>
          </cell>
          <cell r="M1349">
            <v>0</v>
          </cell>
          <cell r="N1349">
            <v>0</v>
          </cell>
          <cell r="P1349">
            <v>0</v>
          </cell>
          <cell r="R1349">
            <v>73</v>
          </cell>
        </row>
        <row r="1350">
          <cell r="C1350" t="str">
            <v>Treatment</v>
          </cell>
          <cell r="H1350">
            <v>1</v>
          </cell>
          <cell r="I1350">
            <v>1</v>
          </cell>
          <cell r="J1350">
            <v>1</v>
          </cell>
          <cell r="K1350">
            <v>0</v>
          </cell>
          <cell r="M1350">
            <v>0</v>
          </cell>
          <cell r="N1350">
            <v>1</v>
          </cell>
          <cell r="P1350">
            <v>0</v>
          </cell>
          <cell r="R1350">
            <v>72.5</v>
          </cell>
        </row>
        <row r="1351">
          <cell r="C1351" t="str">
            <v>Treatment</v>
          </cell>
          <cell r="H1351">
            <v>1</v>
          </cell>
          <cell r="I1351">
            <v>1</v>
          </cell>
          <cell r="J1351">
            <v>1</v>
          </cell>
          <cell r="K1351">
            <v>1</v>
          </cell>
          <cell r="M1351">
            <v>323.60000000000002</v>
          </cell>
          <cell r="N1351">
            <v>0</v>
          </cell>
          <cell r="P1351">
            <v>0</v>
          </cell>
          <cell r="Q1351">
            <v>6</v>
          </cell>
          <cell r="R1351">
            <v>100</v>
          </cell>
        </row>
        <row r="1352">
          <cell r="C1352" t="str">
            <v>Treatment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M1352">
            <v>0</v>
          </cell>
          <cell r="N1352">
            <v>1</v>
          </cell>
          <cell r="P1352">
            <v>0</v>
          </cell>
          <cell r="R1352">
            <v>90.5</v>
          </cell>
        </row>
        <row r="1353">
          <cell r="C1353" t="str">
            <v>Treatment</v>
          </cell>
          <cell r="H1353">
            <v>1</v>
          </cell>
          <cell r="I1353">
            <v>0</v>
          </cell>
          <cell r="J1353">
            <v>0</v>
          </cell>
          <cell r="K1353">
            <v>0</v>
          </cell>
          <cell r="M1353">
            <v>0</v>
          </cell>
          <cell r="N1353">
            <v>0</v>
          </cell>
          <cell r="P1353">
            <v>0</v>
          </cell>
          <cell r="R1353">
            <v>70.2</v>
          </cell>
        </row>
        <row r="1354">
          <cell r="C1354" t="str">
            <v>Treatment</v>
          </cell>
          <cell r="H1354">
            <v>1</v>
          </cell>
          <cell r="I1354">
            <v>0</v>
          </cell>
          <cell r="J1354">
            <v>0</v>
          </cell>
          <cell r="K1354">
            <v>0</v>
          </cell>
          <cell r="M1354">
            <v>0</v>
          </cell>
          <cell r="N1354">
            <v>1</v>
          </cell>
          <cell r="P1354">
            <v>0</v>
          </cell>
          <cell r="R1354">
            <v>67.099999999999994</v>
          </cell>
        </row>
        <row r="1355">
          <cell r="C1355" t="str">
            <v>Treatment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M1355">
            <v>0</v>
          </cell>
          <cell r="N1355">
            <v>0</v>
          </cell>
          <cell r="P1355">
            <v>0</v>
          </cell>
          <cell r="R1355">
            <v>54.5</v>
          </cell>
        </row>
        <row r="1356">
          <cell r="C1356" t="str">
            <v>Treatment</v>
          </cell>
          <cell r="H1356">
            <v>1</v>
          </cell>
          <cell r="I1356">
            <v>0</v>
          </cell>
          <cell r="J1356">
            <v>0</v>
          </cell>
          <cell r="K1356">
            <v>0</v>
          </cell>
          <cell r="M1356">
            <v>0</v>
          </cell>
          <cell r="N1356">
            <v>0</v>
          </cell>
          <cell r="P1356">
            <v>0</v>
          </cell>
          <cell r="R1356">
            <v>63.4</v>
          </cell>
        </row>
        <row r="1357">
          <cell r="C1357" t="str">
            <v>Treatment</v>
          </cell>
          <cell r="H1357">
            <v>1</v>
          </cell>
          <cell r="I1357">
            <v>1</v>
          </cell>
          <cell r="J1357">
            <v>1</v>
          </cell>
          <cell r="K1357">
            <v>0</v>
          </cell>
          <cell r="M1357">
            <v>0</v>
          </cell>
          <cell r="N1357">
            <v>0</v>
          </cell>
          <cell r="P1357">
            <v>0</v>
          </cell>
          <cell r="R1357">
            <v>84.3</v>
          </cell>
        </row>
        <row r="1358">
          <cell r="C1358" t="str">
            <v>Treatment</v>
          </cell>
          <cell r="H1358">
            <v>1</v>
          </cell>
          <cell r="I1358">
            <v>0</v>
          </cell>
          <cell r="J1358">
            <v>0</v>
          </cell>
          <cell r="K1358">
            <v>0</v>
          </cell>
          <cell r="M1358">
            <v>0</v>
          </cell>
          <cell r="N1358">
            <v>1</v>
          </cell>
          <cell r="P1358">
            <v>0</v>
          </cell>
          <cell r="R1358">
            <v>55</v>
          </cell>
        </row>
        <row r="1359">
          <cell r="C1359" t="str">
            <v>Treatment</v>
          </cell>
          <cell r="H1359">
            <v>1</v>
          </cell>
          <cell r="I1359">
            <v>0</v>
          </cell>
          <cell r="J1359">
            <v>0</v>
          </cell>
          <cell r="K1359">
            <v>0</v>
          </cell>
          <cell r="M1359">
            <v>0</v>
          </cell>
          <cell r="N1359">
            <v>0</v>
          </cell>
          <cell r="P1359">
            <v>0</v>
          </cell>
          <cell r="R1359">
            <v>63.6</v>
          </cell>
        </row>
        <row r="1360">
          <cell r="C1360" t="str">
            <v>Treatment</v>
          </cell>
          <cell r="H1360">
            <v>1</v>
          </cell>
          <cell r="I1360">
            <v>0</v>
          </cell>
          <cell r="J1360">
            <v>0</v>
          </cell>
          <cell r="K1360">
            <v>0</v>
          </cell>
          <cell r="M1360">
            <v>0</v>
          </cell>
          <cell r="N1360">
            <v>0</v>
          </cell>
          <cell r="P1360">
            <v>0</v>
          </cell>
          <cell r="R1360">
            <v>55.5</v>
          </cell>
        </row>
        <row r="1361">
          <cell r="C1361" t="str">
            <v>Treatment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M1361">
            <v>0</v>
          </cell>
          <cell r="N1361">
            <v>0</v>
          </cell>
          <cell r="P1361">
            <v>0</v>
          </cell>
          <cell r="R1361">
            <v>50.5</v>
          </cell>
        </row>
        <row r="1362">
          <cell r="C1362" t="str">
            <v>Treatment</v>
          </cell>
          <cell r="H1362">
            <v>1</v>
          </cell>
          <cell r="I1362">
            <v>0</v>
          </cell>
          <cell r="J1362">
            <v>0</v>
          </cell>
          <cell r="K1362">
            <v>0</v>
          </cell>
          <cell r="M1362">
            <v>0</v>
          </cell>
          <cell r="N1362">
            <v>0</v>
          </cell>
          <cell r="P1362">
            <v>0</v>
          </cell>
          <cell r="R1362">
            <v>45.3</v>
          </cell>
        </row>
        <row r="1363">
          <cell r="C1363" t="str">
            <v>Treatment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M1363">
            <v>0</v>
          </cell>
          <cell r="N1363">
            <v>0</v>
          </cell>
          <cell r="P1363">
            <v>0</v>
          </cell>
          <cell r="R1363">
            <v>33.6</v>
          </cell>
        </row>
        <row r="1364">
          <cell r="C1364" t="str">
            <v>Treatment</v>
          </cell>
          <cell r="H1364">
            <v>1</v>
          </cell>
          <cell r="I1364">
            <v>1</v>
          </cell>
          <cell r="J1364">
            <v>1</v>
          </cell>
          <cell r="K1364">
            <v>0</v>
          </cell>
          <cell r="M1364">
            <v>0</v>
          </cell>
          <cell r="N1364">
            <v>0</v>
          </cell>
          <cell r="P1364">
            <v>0</v>
          </cell>
          <cell r="R1364">
            <v>88.2</v>
          </cell>
        </row>
        <row r="1365">
          <cell r="C1365" t="str">
            <v>Treatment</v>
          </cell>
          <cell r="H1365">
            <v>1</v>
          </cell>
          <cell r="I1365">
            <v>0</v>
          </cell>
          <cell r="J1365">
            <v>0</v>
          </cell>
          <cell r="K1365">
            <v>0</v>
          </cell>
          <cell r="M1365">
            <v>0</v>
          </cell>
          <cell r="N1365">
            <v>0</v>
          </cell>
          <cell r="P1365">
            <v>0</v>
          </cell>
          <cell r="R1365">
            <v>51.8</v>
          </cell>
        </row>
        <row r="1366">
          <cell r="C1366" t="str">
            <v>Treatment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M1366">
            <v>0</v>
          </cell>
          <cell r="N1366">
            <v>0</v>
          </cell>
          <cell r="P1366">
            <v>0</v>
          </cell>
          <cell r="R1366">
            <v>87.9</v>
          </cell>
        </row>
        <row r="1367">
          <cell r="C1367" t="str">
            <v>Treatment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M1367">
            <v>0</v>
          </cell>
          <cell r="N1367">
            <v>2</v>
          </cell>
          <cell r="P1367">
            <v>0</v>
          </cell>
          <cell r="R1367">
            <v>70.5</v>
          </cell>
        </row>
        <row r="1368">
          <cell r="C1368" t="str">
            <v>Treatment</v>
          </cell>
          <cell r="H1368">
            <v>1</v>
          </cell>
          <cell r="I1368">
            <v>1</v>
          </cell>
          <cell r="J1368">
            <v>0</v>
          </cell>
          <cell r="K1368">
            <v>0</v>
          </cell>
          <cell r="M1368">
            <v>0</v>
          </cell>
          <cell r="N1368">
            <v>2</v>
          </cell>
          <cell r="P1368">
            <v>0</v>
          </cell>
          <cell r="R1368">
            <v>58.5</v>
          </cell>
        </row>
        <row r="1369">
          <cell r="C1369" t="str">
            <v>Treatment</v>
          </cell>
          <cell r="H1369">
            <v>1</v>
          </cell>
          <cell r="I1369">
            <v>0</v>
          </cell>
          <cell r="J1369">
            <v>0</v>
          </cell>
          <cell r="K1369">
            <v>0</v>
          </cell>
          <cell r="M1369">
            <v>0</v>
          </cell>
          <cell r="N1369">
            <v>0</v>
          </cell>
          <cell r="P1369">
            <v>0</v>
          </cell>
          <cell r="R1369">
            <v>65.599999999999994</v>
          </cell>
        </row>
        <row r="1370">
          <cell r="C1370" t="str">
            <v>Treatment</v>
          </cell>
          <cell r="H1370">
            <v>1</v>
          </cell>
          <cell r="I1370">
            <v>1</v>
          </cell>
          <cell r="J1370">
            <v>0</v>
          </cell>
          <cell r="K1370">
            <v>0</v>
          </cell>
          <cell r="M1370">
            <v>0</v>
          </cell>
          <cell r="N1370">
            <v>0</v>
          </cell>
          <cell r="P1370">
            <v>0</v>
          </cell>
          <cell r="R1370">
            <v>62.7</v>
          </cell>
        </row>
        <row r="1371">
          <cell r="C1371" t="str">
            <v>Treatment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M1371">
            <v>0</v>
          </cell>
          <cell r="N1371">
            <v>1</v>
          </cell>
          <cell r="P1371">
            <v>0</v>
          </cell>
          <cell r="R1371">
            <v>50.9</v>
          </cell>
        </row>
        <row r="1372">
          <cell r="C1372" t="str">
            <v>Treatment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M1372">
            <v>0</v>
          </cell>
          <cell r="N1372">
            <v>1</v>
          </cell>
          <cell r="P1372">
            <v>0</v>
          </cell>
          <cell r="R1372">
            <v>60.6</v>
          </cell>
        </row>
        <row r="1373">
          <cell r="C1373" t="str">
            <v>Treatment</v>
          </cell>
          <cell r="H1373">
            <v>1</v>
          </cell>
          <cell r="I1373">
            <v>1</v>
          </cell>
          <cell r="J1373">
            <v>1</v>
          </cell>
          <cell r="K1373">
            <v>0</v>
          </cell>
          <cell r="M1373">
            <v>0</v>
          </cell>
          <cell r="N1373">
            <v>0</v>
          </cell>
          <cell r="P1373">
            <v>0</v>
          </cell>
          <cell r="R1373">
            <v>76.599999999999994</v>
          </cell>
        </row>
        <row r="1374">
          <cell r="C1374" t="str">
            <v>Treatment</v>
          </cell>
          <cell r="H1374">
            <v>1</v>
          </cell>
          <cell r="I1374">
            <v>1</v>
          </cell>
          <cell r="J1374">
            <v>1</v>
          </cell>
          <cell r="K1374">
            <v>0</v>
          </cell>
          <cell r="M1374">
            <v>0</v>
          </cell>
          <cell r="N1374">
            <v>0</v>
          </cell>
          <cell r="P1374">
            <v>0</v>
          </cell>
          <cell r="R1374">
            <v>54.4</v>
          </cell>
        </row>
        <row r="1375">
          <cell r="C1375" t="str">
            <v>Treatment</v>
          </cell>
          <cell r="H1375">
            <v>1</v>
          </cell>
          <cell r="I1375">
            <v>0</v>
          </cell>
          <cell r="J1375">
            <v>0</v>
          </cell>
          <cell r="K1375">
            <v>0</v>
          </cell>
          <cell r="M1375">
            <v>0</v>
          </cell>
          <cell r="N1375">
            <v>0</v>
          </cell>
          <cell r="P1375">
            <v>0</v>
          </cell>
          <cell r="R1375">
            <v>31.2</v>
          </cell>
        </row>
        <row r="1376">
          <cell r="C1376" t="str">
            <v>Treatment</v>
          </cell>
          <cell r="H1376">
            <v>1</v>
          </cell>
          <cell r="I1376">
            <v>0</v>
          </cell>
          <cell r="J1376">
            <v>0</v>
          </cell>
          <cell r="K1376">
            <v>0</v>
          </cell>
          <cell r="M1376">
            <v>0</v>
          </cell>
          <cell r="N1376">
            <v>0</v>
          </cell>
          <cell r="P1376">
            <v>0</v>
          </cell>
          <cell r="R1376">
            <v>72.400000000000006</v>
          </cell>
        </row>
        <row r="1377">
          <cell r="C1377" t="str">
            <v>Treatment</v>
          </cell>
          <cell r="H1377">
            <v>1</v>
          </cell>
          <cell r="I1377">
            <v>0</v>
          </cell>
          <cell r="J1377">
            <v>0</v>
          </cell>
          <cell r="K1377">
            <v>0</v>
          </cell>
          <cell r="M1377">
            <v>0</v>
          </cell>
          <cell r="N1377">
            <v>0</v>
          </cell>
          <cell r="P1377">
            <v>0</v>
          </cell>
          <cell r="R1377">
            <v>74.5</v>
          </cell>
        </row>
        <row r="1378">
          <cell r="C1378" t="str">
            <v>Treatment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M1378">
            <v>0</v>
          </cell>
          <cell r="N1378">
            <v>0</v>
          </cell>
          <cell r="P1378">
            <v>0</v>
          </cell>
          <cell r="R1378">
            <v>52.6</v>
          </cell>
        </row>
        <row r="1379">
          <cell r="C1379" t="str">
            <v>Treatment</v>
          </cell>
          <cell r="H1379">
            <v>1</v>
          </cell>
          <cell r="I1379">
            <v>0</v>
          </cell>
          <cell r="J1379">
            <v>0</v>
          </cell>
          <cell r="K1379">
            <v>0</v>
          </cell>
          <cell r="M1379">
            <v>0</v>
          </cell>
          <cell r="N1379">
            <v>0</v>
          </cell>
          <cell r="P1379">
            <v>0</v>
          </cell>
          <cell r="R1379">
            <v>75.400000000000006</v>
          </cell>
        </row>
        <row r="1380">
          <cell r="C1380" t="str">
            <v>Treatment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M1380">
            <v>751.33</v>
          </cell>
          <cell r="N1380">
            <v>0</v>
          </cell>
          <cell r="P1380">
            <v>0</v>
          </cell>
          <cell r="Q1380">
            <v>9</v>
          </cell>
          <cell r="R1380">
            <v>34</v>
          </cell>
        </row>
        <row r="1381">
          <cell r="C1381" t="str">
            <v>Treatment</v>
          </cell>
          <cell r="H1381">
            <v>1</v>
          </cell>
          <cell r="I1381">
            <v>0</v>
          </cell>
          <cell r="J1381">
            <v>0</v>
          </cell>
          <cell r="K1381">
            <v>0</v>
          </cell>
          <cell r="M1381">
            <v>0</v>
          </cell>
          <cell r="N1381">
            <v>0</v>
          </cell>
          <cell r="P1381">
            <v>0</v>
          </cell>
          <cell r="R1381">
            <v>67.099999999999994</v>
          </cell>
        </row>
        <row r="1382">
          <cell r="C1382" t="str">
            <v>Treatment</v>
          </cell>
          <cell r="H1382">
            <v>1</v>
          </cell>
          <cell r="I1382">
            <v>0</v>
          </cell>
          <cell r="J1382">
            <v>0</v>
          </cell>
          <cell r="K1382">
            <v>0</v>
          </cell>
          <cell r="M1382">
            <v>0</v>
          </cell>
          <cell r="N1382">
            <v>0</v>
          </cell>
          <cell r="P1382">
            <v>0</v>
          </cell>
          <cell r="R1382">
            <v>37.299999999999997</v>
          </cell>
        </row>
        <row r="1383">
          <cell r="C1383" t="str">
            <v>Treatment</v>
          </cell>
          <cell r="H1383">
            <v>1</v>
          </cell>
          <cell r="I1383">
            <v>0</v>
          </cell>
          <cell r="J1383">
            <v>0</v>
          </cell>
          <cell r="K1383">
            <v>0</v>
          </cell>
          <cell r="M1383">
            <v>0</v>
          </cell>
          <cell r="N1383">
            <v>0</v>
          </cell>
          <cell r="P1383">
            <v>0</v>
          </cell>
          <cell r="R1383">
            <v>54.7</v>
          </cell>
        </row>
        <row r="1384">
          <cell r="C1384" t="str">
            <v>Treatment</v>
          </cell>
          <cell r="H1384">
            <v>1</v>
          </cell>
          <cell r="I1384">
            <v>0</v>
          </cell>
          <cell r="J1384">
            <v>0</v>
          </cell>
          <cell r="K1384">
            <v>0</v>
          </cell>
          <cell r="M1384">
            <v>0</v>
          </cell>
          <cell r="N1384">
            <v>0</v>
          </cell>
          <cell r="P1384">
            <v>0</v>
          </cell>
          <cell r="R1384">
            <v>51.8</v>
          </cell>
        </row>
        <row r="1385">
          <cell r="C1385" t="str">
            <v>Treatment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M1385">
            <v>0</v>
          </cell>
          <cell r="N1385">
            <v>0</v>
          </cell>
          <cell r="P1385">
            <v>0</v>
          </cell>
          <cell r="R1385">
            <v>49.2</v>
          </cell>
        </row>
        <row r="1386">
          <cell r="C1386" t="str">
            <v>Treatment</v>
          </cell>
          <cell r="H1386">
            <v>1</v>
          </cell>
          <cell r="I1386">
            <v>0</v>
          </cell>
          <cell r="J1386">
            <v>0</v>
          </cell>
          <cell r="K1386">
            <v>0</v>
          </cell>
          <cell r="M1386">
            <v>0</v>
          </cell>
          <cell r="N1386">
            <v>2</v>
          </cell>
          <cell r="P1386">
            <v>0</v>
          </cell>
          <cell r="R1386">
            <v>58.8</v>
          </cell>
        </row>
        <row r="1387">
          <cell r="C1387" t="str">
            <v>Treatment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M1387">
            <v>0</v>
          </cell>
          <cell r="N1387">
            <v>1</v>
          </cell>
          <cell r="P1387">
            <v>0</v>
          </cell>
          <cell r="R1387">
            <v>59.1</v>
          </cell>
        </row>
        <row r="1388">
          <cell r="C1388" t="str">
            <v>Treatment</v>
          </cell>
          <cell r="H1388">
            <v>1</v>
          </cell>
          <cell r="I1388">
            <v>0</v>
          </cell>
          <cell r="J1388">
            <v>0</v>
          </cell>
          <cell r="K1388">
            <v>0</v>
          </cell>
          <cell r="M1388">
            <v>0</v>
          </cell>
          <cell r="N1388">
            <v>2</v>
          </cell>
          <cell r="P1388">
            <v>0</v>
          </cell>
          <cell r="R1388">
            <v>49.6</v>
          </cell>
        </row>
        <row r="1389">
          <cell r="C1389" t="str">
            <v>Treatment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M1389">
            <v>0</v>
          </cell>
          <cell r="N1389">
            <v>0</v>
          </cell>
          <cell r="P1389">
            <v>0</v>
          </cell>
          <cell r="R1389">
            <v>58.2</v>
          </cell>
        </row>
        <row r="1390">
          <cell r="C1390" t="str">
            <v>Treatment</v>
          </cell>
          <cell r="H1390">
            <v>1</v>
          </cell>
          <cell r="I1390">
            <v>0</v>
          </cell>
          <cell r="J1390">
            <v>0</v>
          </cell>
          <cell r="K1390">
            <v>0</v>
          </cell>
          <cell r="M1390">
            <v>0</v>
          </cell>
          <cell r="N1390">
            <v>0</v>
          </cell>
          <cell r="P1390">
            <v>0</v>
          </cell>
          <cell r="R1390">
            <v>66.8</v>
          </cell>
        </row>
        <row r="1391">
          <cell r="C1391" t="str">
            <v>Treatment</v>
          </cell>
          <cell r="H1391">
            <v>1</v>
          </cell>
          <cell r="I1391">
            <v>0</v>
          </cell>
          <cell r="J1391">
            <v>0</v>
          </cell>
          <cell r="K1391">
            <v>0</v>
          </cell>
          <cell r="M1391">
            <v>0</v>
          </cell>
          <cell r="N1391">
            <v>3</v>
          </cell>
          <cell r="P1391">
            <v>0</v>
          </cell>
          <cell r="R1391">
            <v>58.3</v>
          </cell>
        </row>
        <row r="1392">
          <cell r="C1392" t="str">
            <v>Treatment</v>
          </cell>
          <cell r="H1392">
            <v>1</v>
          </cell>
          <cell r="I1392">
            <v>1</v>
          </cell>
          <cell r="J1392">
            <v>1</v>
          </cell>
          <cell r="K1392">
            <v>0</v>
          </cell>
          <cell r="M1392">
            <v>0</v>
          </cell>
          <cell r="N1392">
            <v>0</v>
          </cell>
          <cell r="P1392">
            <v>0</v>
          </cell>
          <cell r="R1392">
            <v>38.5</v>
          </cell>
        </row>
        <row r="1393">
          <cell r="C1393" t="str">
            <v>Treatment</v>
          </cell>
          <cell r="H1393">
            <v>1</v>
          </cell>
          <cell r="I1393">
            <v>0</v>
          </cell>
          <cell r="J1393">
            <v>0</v>
          </cell>
          <cell r="K1393">
            <v>0</v>
          </cell>
          <cell r="M1393">
            <v>0</v>
          </cell>
          <cell r="N1393">
            <v>0</v>
          </cell>
          <cell r="P1393">
            <v>0</v>
          </cell>
          <cell r="R1393">
            <v>76.900000000000006</v>
          </cell>
        </row>
        <row r="1394">
          <cell r="C1394" t="str">
            <v>Treatment</v>
          </cell>
          <cell r="H1394">
            <v>1</v>
          </cell>
          <cell r="I1394">
            <v>0</v>
          </cell>
          <cell r="J1394">
            <v>0</v>
          </cell>
          <cell r="K1394">
            <v>0</v>
          </cell>
          <cell r="M1394">
            <v>0</v>
          </cell>
          <cell r="N1394">
            <v>0</v>
          </cell>
          <cell r="P1394">
            <v>0</v>
          </cell>
          <cell r="R1394">
            <v>54</v>
          </cell>
        </row>
        <row r="1395">
          <cell r="C1395" t="str">
            <v>Treatment</v>
          </cell>
          <cell r="H1395">
            <v>1</v>
          </cell>
          <cell r="I1395">
            <v>0</v>
          </cell>
          <cell r="J1395">
            <v>0</v>
          </cell>
          <cell r="K1395">
            <v>0</v>
          </cell>
          <cell r="M1395">
            <v>0</v>
          </cell>
          <cell r="N1395">
            <v>0</v>
          </cell>
          <cell r="P1395">
            <v>0</v>
          </cell>
          <cell r="R1395">
            <v>70.599999999999994</v>
          </cell>
        </row>
        <row r="1396">
          <cell r="C1396" t="str">
            <v>Treatment</v>
          </cell>
          <cell r="H1396">
            <v>1</v>
          </cell>
          <cell r="I1396">
            <v>1</v>
          </cell>
          <cell r="J1396">
            <v>1</v>
          </cell>
          <cell r="K1396">
            <v>0</v>
          </cell>
          <cell r="M1396">
            <v>0</v>
          </cell>
          <cell r="N1396">
            <v>1</v>
          </cell>
          <cell r="P1396">
            <v>0</v>
          </cell>
          <cell r="R1396">
            <v>69.400000000000006</v>
          </cell>
        </row>
        <row r="1397">
          <cell r="C1397" t="str">
            <v>Treatment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M1397">
            <v>1009.9</v>
          </cell>
          <cell r="N1397">
            <v>0</v>
          </cell>
          <cell r="P1397">
            <v>0</v>
          </cell>
          <cell r="Q1397">
            <v>6</v>
          </cell>
          <cell r="R1397">
            <v>89.7</v>
          </cell>
        </row>
        <row r="1398">
          <cell r="C1398" t="str">
            <v>Treatment</v>
          </cell>
          <cell r="H1398">
            <v>1</v>
          </cell>
          <cell r="I1398">
            <v>0</v>
          </cell>
          <cell r="J1398">
            <v>0</v>
          </cell>
          <cell r="K1398">
            <v>0</v>
          </cell>
          <cell r="M1398">
            <v>0</v>
          </cell>
          <cell r="N1398">
            <v>0</v>
          </cell>
          <cell r="P1398">
            <v>0</v>
          </cell>
          <cell r="R1398">
            <v>62.4</v>
          </cell>
        </row>
        <row r="1399">
          <cell r="C1399" t="str">
            <v>Treatment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M1399">
            <v>0</v>
          </cell>
          <cell r="N1399">
            <v>0</v>
          </cell>
          <cell r="P1399">
            <v>0</v>
          </cell>
          <cell r="R1399">
            <v>67.3</v>
          </cell>
        </row>
        <row r="1400">
          <cell r="C1400" t="str">
            <v>Treatment</v>
          </cell>
          <cell r="H1400">
            <v>1</v>
          </cell>
          <cell r="I1400">
            <v>0</v>
          </cell>
          <cell r="J1400">
            <v>0</v>
          </cell>
          <cell r="K1400">
            <v>0</v>
          </cell>
          <cell r="M1400">
            <v>0</v>
          </cell>
          <cell r="N1400">
            <v>0</v>
          </cell>
          <cell r="P1400">
            <v>0</v>
          </cell>
          <cell r="R1400">
            <v>54.9</v>
          </cell>
        </row>
        <row r="1401">
          <cell r="C1401" t="str">
            <v>Treatment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M1401">
            <v>0</v>
          </cell>
          <cell r="N1401">
            <v>0</v>
          </cell>
          <cell r="P1401">
            <v>0</v>
          </cell>
          <cell r="R1401">
            <v>55.7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periment_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Experiment_data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Experiment_data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198.384903124999" createdVersion="8" refreshedVersion="8" minRefreshableVersion="3" recordCount="1401" xr:uid="{30924D0A-734C-4E0C-8730-6E162384D700}">
  <cacheSource type="worksheet">
    <worksheetSource ref="A1:R1048576" sheet="Sheet1" r:id="rId2"/>
  </cacheSource>
  <cacheFields count="17">
    <cacheField name="user_id" numFmtId="0">
      <sharedItems containsBlank="1"/>
    </cacheField>
    <cacheField name="signup_date" numFmtId="14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 count="5">
        <s v="North"/>
        <s v="West"/>
        <s v="East"/>
        <s v="South"/>
        <m/>
      </sharedItems>
    </cacheField>
    <cacheField name="device_type" numFmtId="0">
      <sharedItems containsBlank="1" count="5">
        <s v="Desktop"/>
        <s v="Mobile"/>
        <s v="Tablet"/>
        <s v="Unknown"/>
        <m/>
      </sharedItems>
    </cacheField>
    <cacheField name="traffic_source" numFmtId="0">
      <sharedItems containsBlank="1" count="7">
        <s v="Email"/>
        <s v="Organic"/>
        <s v="Paid Search"/>
        <s v="Referral"/>
        <s v="Social"/>
        <s v="Unknown"/>
        <m/>
      </sharedItems>
    </cacheField>
    <cacheField name="plan_type" numFmtId="0">
      <sharedItems containsBlank="1" count="4">
        <s v="Basic"/>
        <s v="Free"/>
        <s v="Premium"/>
        <m/>
      </sharedItems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has_support_ticket" numFmtId="0">
      <sharedItems containsString="0" containsBlank="1" containsNumber="1" containsInteger="1" minValue="0" maxValue="1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198.394660532409" createdVersion="8" refreshedVersion="8" minRefreshableVersion="3" recordCount="1400" xr:uid="{2B51514E-15CA-4EB6-8EF5-3331E62B1BC0}">
  <cacheSource type="worksheet">
    <worksheetSource ref="A1:R1401" sheet="Sheet1" r:id="rId2"/>
  </cacheSource>
  <cacheFields count="18">
    <cacheField name="user_id" numFmtId="0">
      <sharedItems/>
    </cacheField>
    <cacheField name="signup_date" numFmtId="1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Revenue_30d_wins" numFmtId="0">
      <sharedItems containsSemiMixedTypes="0" containsString="0" containsNumber="1" minValue="0" maxValue="1496.19"/>
    </cacheField>
    <cacheField name="support_tickets_30d" numFmtId="0">
      <sharedItems containsSemiMixedTypes="0" containsString="0" containsNumber="1" containsInteger="1" minValue="0" maxValue="4"/>
    </cacheField>
    <cacheField name="has_support_ticket" numFmtId="0">
      <sharedItems containsSemiMixedTypes="0" containsString="0" containsNumber="1" containsInteger="1" minValue="0" maxValue="1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198.36216689815" createdVersion="8" refreshedVersion="8" minRefreshableVersion="3" recordCount="1400" xr:uid="{30BBF558-BF80-4E02-B58E-CF96E4F4DCEE}">
  <cacheSource type="worksheet">
    <worksheetSource ref="A1:T1401" sheet="Sheet1" r:id="rId2"/>
  </cacheSource>
  <cacheFields count="18">
    <cacheField name="user_id" numFmtId="0">
      <sharedItems/>
    </cacheField>
    <cacheField name="signup_date" numFmtId="1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control" numFmtId="0">
      <sharedItems containsString="0" containsBlank="1" containsNumber="1" minValue="0.14782608695652175" maxValue="690"/>
    </cacheField>
    <cacheField name="treatment" numFmtId="0">
      <sharedItems containsString="0" containsBlank="1" containsNumber="1" minValue="0.24788732394366197" maxValue="7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1">
  <r>
    <s v="USR-100001"/>
    <d v="2025-03-16T00:00:00"/>
    <x v="0"/>
    <x v="0"/>
    <x v="0"/>
    <x v="0"/>
    <x v="0"/>
    <n v="0"/>
    <n v="0"/>
    <n v="0"/>
    <n v="0"/>
    <n v="0"/>
    <n v="0"/>
    <n v="0"/>
    <n v="0"/>
    <m/>
    <n v="45.7"/>
  </r>
  <r>
    <s v="USR-100002"/>
    <d v="2025-03-08T00:00:00"/>
    <x v="0"/>
    <x v="1"/>
    <x v="1"/>
    <x v="1"/>
    <x v="1"/>
    <n v="1"/>
    <n v="0"/>
    <n v="0"/>
    <n v="0"/>
    <n v="0"/>
    <n v="0"/>
    <n v="0"/>
    <n v="0"/>
    <m/>
    <n v="48.6"/>
  </r>
  <r>
    <s v="USR-100003"/>
    <d v="2025-04-24T00:00:00"/>
    <x v="0"/>
    <x v="2"/>
    <x v="1"/>
    <x v="2"/>
    <x v="2"/>
    <n v="1"/>
    <n v="0"/>
    <n v="0"/>
    <n v="0"/>
    <n v="0"/>
    <n v="1"/>
    <n v="1"/>
    <n v="0"/>
    <m/>
    <n v="35.4"/>
  </r>
  <r>
    <s v="USR-100004"/>
    <d v="2025-05-04T00:00:00"/>
    <x v="0"/>
    <x v="3"/>
    <x v="1"/>
    <x v="0"/>
    <x v="0"/>
    <n v="1"/>
    <n v="0"/>
    <n v="0"/>
    <n v="0"/>
    <n v="0"/>
    <n v="0"/>
    <n v="0"/>
    <n v="0"/>
    <m/>
    <n v="64.599999999999994"/>
  </r>
  <r>
    <s v="USR-100005"/>
    <d v="2025-02-12T00:00:00"/>
    <x v="0"/>
    <x v="0"/>
    <x v="2"/>
    <x v="1"/>
    <x v="1"/>
    <n v="0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x v="2"/>
    <n v="1"/>
    <n v="0"/>
    <n v="0"/>
    <n v="0"/>
    <n v="0"/>
    <n v="0"/>
    <n v="0"/>
    <n v="0"/>
    <m/>
    <n v="40.799999999999997"/>
  </r>
  <r>
    <s v="USR-100007"/>
    <d v="2025-04-08T00:00:00"/>
    <x v="0"/>
    <x v="2"/>
    <x v="1"/>
    <x v="2"/>
    <x v="0"/>
    <n v="1"/>
    <n v="1"/>
    <n v="0"/>
    <n v="0"/>
    <n v="0"/>
    <n v="0"/>
    <n v="0"/>
    <n v="0"/>
    <m/>
    <n v="57.1"/>
  </r>
  <r>
    <s v="USR-100008"/>
    <d v="2025-05-17T00:00:00"/>
    <x v="0"/>
    <x v="3"/>
    <x v="1"/>
    <x v="2"/>
    <x v="1"/>
    <n v="0"/>
    <n v="0"/>
    <n v="0"/>
    <n v="0"/>
    <n v="0"/>
    <n v="0"/>
    <n v="0"/>
    <n v="0"/>
    <m/>
    <n v="36.4"/>
  </r>
  <r>
    <s v="USR-100009"/>
    <d v="2025-02-23T00:00:00"/>
    <x v="0"/>
    <x v="3"/>
    <x v="2"/>
    <x v="3"/>
    <x v="0"/>
    <n v="0"/>
    <n v="0"/>
    <n v="0"/>
    <n v="0"/>
    <n v="0"/>
    <n v="0"/>
    <n v="0"/>
    <n v="0"/>
    <m/>
    <n v="55.4"/>
  </r>
  <r>
    <s v="USR-100010"/>
    <d v="2025-05-29T00:00:00"/>
    <x v="0"/>
    <x v="1"/>
    <x v="0"/>
    <x v="4"/>
    <x v="1"/>
    <n v="1"/>
    <n v="0"/>
    <n v="0"/>
    <n v="0"/>
    <n v="0"/>
    <n v="0"/>
    <n v="0"/>
    <n v="0"/>
    <m/>
    <n v="57.3"/>
  </r>
  <r>
    <s v="USR-100011"/>
    <d v="2025-04-30T00:00:00"/>
    <x v="0"/>
    <x v="2"/>
    <x v="1"/>
    <x v="2"/>
    <x v="0"/>
    <n v="1"/>
    <n v="1"/>
    <n v="1"/>
    <n v="0"/>
    <n v="0"/>
    <n v="0"/>
    <n v="0"/>
    <n v="0"/>
    <m/>
    <n v="63.6"/>
  </r>
  <r>
    <s v="USR-100012"/>
    <d v="2025-03-16T00:00:00"/>
    <x v="0"/>
    <x v="2"/>
    <x v="1"/>
    <x v="4"/>
    <x v="2"/>
    <n v="1"/>
    <n v="1"/>
    <n v="1"/>
    <n v="0"/>
    <n v="0"/>
    <n v="1"/>
    <n v="1"/>
    <n v="0"/>
    <m/>
    <n v="80.400000000000006"/>
  </r>
  <r>
    <s v="USR-100013"/>
    <d v="2025-02-07T00:00:00"/>
    <x v="0"/>
    <x v="3"/>
    <x v="0"/>
    <x v="0"/>
    <x v="0"/>
    <n v="1"/>
    <n v="0"/>
    <n v="0"/>
    <n v="0"/>
    <n v="0"/>
    <n v="0"/>
    <n v="0"/>
    <n v="0"/>
    <m/>
    <n v="62.4"/>
  </r>
  <r>
    <s v="USR-100014"/>
    <d v="2025-03-02T00:00:00"/>
    <x v="0"/>
    <x v="1"/>
    <x v="1"/>
    <x v="4"/>
    <x v="0"/>
    <n v="1"/>
    <n v="0"/>
    <n v="0"/>
    <n v="0"/>
    <n v="0"/>
    <n v="0"/>
    <n v="0"/>
    <n v="0"/>
    <m/>
    <n v="82.4"/>
  </r>
  <r>
    <s v="USR-100015"/>
    <d v="2025-05-30T00:00:00"/>
    <x v="0"/>
    <x v="3"/>
    <x v="1"/>
    <x v="1"/>
    <x v="0"/>
    <n v="0"/>
    <n v="0"/>
    <n v="0"/>
    <n v="0"/>
    <n v="0"/>
    <n v="0"/>
    <n v="0"/>
    <n v="0"/>
    <m/>
    <n v="61.2"/>
  </r>
  <r>
    <s v="USR-100016"/>
    <d v="2025-03-25T00:00:00"/>
    <x v="0"/>
    <x v="3"/>
    <x v="1"/>
    <x v="4"/>
    <x v="0"/>
    <n v="1"/>
    <n v="0"/>
    <n v="0"/>
    <n v="0"/>
    <n v="0"/>
    <n v="0"/>
    <n v="0"/>
    <n v="0"/>
    <m/>
    <n v="68.900000000000006"/>
  </r>
  <r>
    <s v="USR-100017"/>
    <d v="2025-03-27T00:00:00"/>
    <x v="0"/>
    <x v="2"/>
    <x v="0"/>
    <x v="2"/>
    <x v="1"/>
    <n v="1"/>
    <n v="1"/>
    <n v="1"/>
    <n v="0"/>
    <n v="0"/>
    <n v="0"/>
    <n v="0"/>
    <n v="0"/>
    <m/>
    <n v="71.900000000000006"/>
  </r>
  <r>
    <s v="USR-100018"/>
    <d v="2025-05-28T00:00:00"/>
    <x v="0"/>
    <x v="3"/>
    <x v="0"/>
    <x v="2"/>
    <x v="1"/>
    <n v="0"/>
    <n v="0"/>
    <n v="0"/>
    <n v="0"/>
    <n v="0"/>
    <n v="0"/>
    <n v="0"/>
    <n v="0"/>
    <m/>
    <n v="50.5"/>
  </r>
  <r>
    <s v="USR-100019"/>
    <d v="2025-02-15T00:00:00"/>
    <x v="0"/>
    <x v="0"/>
    <x v="0"/>
    <x v="2"/>
    <x v="0"/>
    <n v="0"/>
    <n v="0"/>
    <n v="0"/>
    <n v="0"/>
    <n v="0"/>
    <n v="0"/>
    <n v="0"/>
    <n v="0"/>
    <m/>
    <n v="49.3"/>
  </r>
  <r>
    <s v="USR-100020"/>
    <d v="2025-05-05T00:00:00"/>
    <x v="0"/>
    <x v="1"/>
    <x v="0"/>
    <x v="1"/>
    <x v="0"/>
    <n v="0"/>
    <n v="0"/>
    <n v="0"/>
    <n v="0"/>
    <n v="0"/>
    <n v="2"/>
    <n v="1"/>
    <n v="0"/>
    <m/>
    <n v="60.9"/>
  </r>
  <r>
    <s v="USR-100021"/>
    <d v="2025-04-13T00:00:00"/>
    <x v="0"/>
    <x v="2"/>
    <x v="1"/>
    <x v="4"/>
    <x v="1"/>
    <n v="1"/>
    <n v="0"/>
    <n v="0"/>
    <n v="0"/>
    <n v="0"/>
    <n v="0"/>
    <n v="0"/>
    <n v="0"/>
    <m/>
    <n v="62.7"/>
  </r>
  <r>
    <s v="USR-100022"/>
    <d v="2025-05-07T00:00:00"/>
    <x v="0"/>
    <x v="0"/>
    <x v="0"/>
    <x v="2"/>
    <x v="1"/>
    <n v="0"/>
    <n v="0"/>
    <n v="0"/>
    <n v="0"/>
    <n v="0"/>
    <n v="0"/>
    <n v="0"/>
    <n v="0"/>
    <m/>
    <n v="52.7"/>
  </r>
  <r>
    <s v="USR-100023"/>
    <d v="2025-05-25T00:00:00"/>
    <x v="0"/>
    <x v="0"/>
    <x v="0"/>
    <x v="1"/>
    <x v="1"/>
    <n v="0"/>
    <n v="0"/>
    <n v="0"/>
    <n v="0"/>
    <n v="0"/>
    <n v="0"/>
    <n v="0"/>
    <n v="0"/>
    <m/>
    <n v="54"/>
  </r>
  <r>
    <s v="USR-100024"/>
    <d v="2025-04-01T00:00:00"/>
    <x v="0"/>
    <x v="2"/>
    <x v="1"/>
    <x v="2"/>
    <x v="2"/>
    <n v="1"/>
    <n v="1"/>
    <n v="0"/>
    <n v="0"/>
    <n v="0"/>
    <n v="0"/>
    <n v="0"/>
    <n v="0"/>
    <m/>
    <n v="51.6"/>
  </r>
  <r>
    <s v="USR-100025"/>
    <d v="2025-02-22T00:00:00"/>
    <x v="0"/>
    <x v="0"/>
    <x v="1"/>
    <x v="2"/>
    <x v="2"/>
    <n v="0"/>
    <n v="0"/>
    <n v="0"/>
    <n v="0"/>
    <n v="0"/>
    <n v="2"/>
    <n v="1"/>
    <n v="0"/>
    <m/>
    <n v="66.900000000000006"/>
  </r>
  <r>
    <s v="USR-100026"/>
    <d v="2025-03-24T00:00:00"/>
    <x v="0"/>
    <x v="2"/>
    <x v="1"/>
    <x v="1"/>
    <x v="0"/>
    <n v="0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x v="1"/>
    <n v="0"/>
    <n v="0"/>
    <n v="0"/>
    <n v="0"/>
    <n v="0"/>
    <n v="0"/>
    <n v="0"/>
    <n v="0"/>
    <m/>
    <n v="58.8"/>
  </r>
  <r>
    <s v="USR-100028"/>
    <d v="2025-05-30T00:00:00"/>
    <x v="0"/>
    <x v="3"/>
    <x v="1"/>
    <x v="1"/>
    <x v="1"/>
    <n v="1"/>
    <n v="0"/>
    <n v="0"/>
    <n v="0"/>
    <n v="0"/>
    <n v="0"/>
    <n v="0"/>
    <n v="0"/>
    <m/>
    <n v="73.8"/>
  </r>
  <r>
    <s v="USR-100029"/>
    <d v="2025-01-20T00:00:00"/>
    <x v="0"/>
    <x v="2"/>
    <x v="2"/>
    <x v="1"/>
    <x v="0"/>
    <n v="0"/>
    <n v="0"/>
    <n v="0"/>
    <n v="0"/>
    <n v="0"/>
    <n v="0"/>
    <n v="0"/>
    <n v="0"/>
    <m/>
    <n v="60.1"/>
  </r>
  <r>
    <s v="USR-100030"/>
    <d v="2025-05-19T00:00:00"/>
    <x v="0"/>
    <x v="2"/>
    <x v="1"/>
    <x v="4"/>
    <x v="0"/>
    <n v="1"/>
    <n v="1"/>
    <n v="1"/>
    <n v="0"/>
    <n v="0"/>
    <n v="0"/>
    <n v="0"/>
    <n v="0"/>
    <m/>
    <n v="41"/>
  </r>
  <r>
    <s v="USR-100031"/>
    <d v="2025-02-18T00:00:00"/>
    <x v="0"/>
    <x v="3"/>
    <x v="1"/>
    <x v="1"/>
    <x v="0"/>
    <n v="1"/>
    <n v="0"/>
    <n v="0"/>
    <n v="0"/>
    <n v="0"/>
    <n v="0"/>
    <n v="0"/>
    <n v="0"/>
    <m/>
    <n v="80.3"/>
  </r>
  <r>
    <s v="USR-100032"/>
    <d v="2025-02-13T00:00:00"/>
    <x v="0"/>
    <x v="2"/>
    <x v="1"/>
    <x v="1"/>
    <x v="1"/>
    <n v="0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x v="2"/>
    <n v="0"/>
    <n v="0"/>
    <n v="0"/>
    <n v="0"/>
    <n v="0"/>
    <n v="0"/>
    <n v="0"/>
    <n v="0"/>
    <m/>
    <n v="64"/>
  </r>
  <r>
    <s v="USR-100034"/>
    <d v="2025-01-11T00:00:00"/>
    <x v="0"/>
    <x v="0"/>
    <x v="1"/>
    <x v="2"/>
    <x v="1"/>
    <n v="1"/>
    <n v="1"/>
    <n v="0"/>
    <n v="0"/>
    <n v="0"/>
    <n v="0"/>
    <n v="0"/>
    <n v="0"/>
    <m/>
    <n v="27.2"/>
  </r>
  <r>
    <s v="USR-100035"/>
    <d v="2025-02-12T00:00:00"/>
    <x v="0"/>
    <x v="0"/>
    <x v="0"/>
    <x v="1"/>
    <x v="1"/>
    <n v="1"/>
    <n v="0"/>
    <n v="0"/>
    <n v="0"/>
    <n v="0"/>
    <n v="0"/>
    <n v="0"/>
    <n v="0"/>
    <m/>
    <n v="85.4"/>
  </r>
  <r>
    <s v="USR-100036"/>
    <d v="2025-04-13T00:00:00"/>
    <x v="0"/>
    <x v="2"/>
    <x v="0"/>
    <x v="1"/>
    <x v="0"/>
    <n v="1"/>
    <n v="0"/>
    <n v="0"/>
    <n v="0"/>
    <n v="0"/>
    <n v="0"/>
    <n v="0"/>
    <n v="0"/>
    <m/>
    <n v="75.900000000000006"/>
  </r>
  <r>
    <s v="USR-100037"/>
    <d v="2025-05-09T00:00:00"/>
    <x v="0"/>
    <x v="2"/>
    <x v="1"/>
    <x v="1"/>
    <x v="2"/>
    <n v="1"/>
    <n v="0"/>
    <n v="0"/>
    <n v="0"/>
    <n v="0"/>
    <n v="1"/>
    <n v="1"/>
    <n v="0"/>
    <m/>
    <n v="34.799999999999997"/>
  </r>
  <r>
    <s v="USR-100038"/>
    <d v="2025-01-20T00:00:00"/>
    <x v="0"/>
    <x v="2"/>
    <x v="1"/>
    <x v="1"/>
    <x v="1"/>
    <n v="1"/>
    <n v="1"/>
    <n v="1"/>
    <n v="0"/>
    <n v="0"/>
    <n v="3"/>
    <n v="1"/>
    <n v="0"/>
    <m/>
    <n v="48.9"/>
  </r>
  <r>
    <s v="USR-100039"/>
    <d v="2025-05-13T00:00:00"/>
    <x v="0"/>
    <x v="2"/>
    <x v="1"/>
    <x v="0"/>
    <x v="2"/>
    <n v="1"/>
    <n v="0"/>
    <n v="0"/>
    <n v="0"/>
    <n v="0"/>
    <n v="0"/>
    <n v="0"/>
    <n v="0"/>
    <m/>
    <n v="41.5"/>
  </r>
  <r>
    <s v="USR-100040"/>
    <d v="2025-04-07T00:00:00"/>
    <x v="0"/>
    <x v="0"/>
    <x v="0"/>
    <x v="1"/>
    <x v="0"/>
    <n v="1"/>
    <n v="0"/>
    <n v="0"/>
    <n v="0"/>
    <n v="0"/>
    <n v="0"/>
    <n v="0"/>
    <n v="0"/>
    <m/>
    <n v="51.5"/>
  </r>
  <r>
    <s v="USR-100041"/>
    <d v="2025-03-31T00:00:00"/>
    <x v="0"/>
    <x v="0"/>
    <x v="0"/>
    <x v="1"/>
    <x v="1"/>
    <n v="0"/>
    <n v="0"/>
    <n v="0"/>
    <n v="0"/>
    <n v="0"/>
    <n v="0"/>
    <n v="0"/>
    <n v="0"/>
    <m/>
    <n v="53.2"/>
  </r>
  <r>
    <s v="USR-100042"/>
    <d v="2025-01-25T00:00:00"/>
    <x v="0"/>
    <x v="2"/>
    <x v="1"/>
    <x v="0"/>
    <x v="2"/>
    <n v="0"/>
    <n v="0"/>
    <n v="0"/>
    <n v="0"/>
    <n v="0"/>
    <n v="0"/>
    <n v="0"/>
    <n v="0"/>
    <m/>
    <n v="55.6"/>
  </r>
  <r>
    <s v="USR-100043"/>
    <d v="2025-02-14T00:00:00"/>
    <x v="0"/>
    <x v="3"/>
    <x v="0"/>
    <x v="1"/>
    <x v="1"/>
    <n v="0"/>
    <n v="0"/>
    <n v="0"/>
    <n v="0"/>
    <n v="0"/>
    <n v="0"/>
    <n v="0"/>
    <n v="0"/>
    <m/>
    <n v="73"/>
  </r>
  <r>
    <s v="USR-100044"/>
    <d v="2025-02-27T00:00:00"/>
    <x v="0"/>
    <x v="2"/>
    <x v="1"/>
    <x v="0"/>
    <x v="1"/>
    <n v="1"/>
    <n v="0"/>
    <n v="0"/>
    <n v="0"/>
    <n v="0"/>
    <n v="0"/>
    <n v="0"/>
    <n v="0"/>
    <m/>
    <n v="65"/>
  </r>
  <r>
    <s v="USR-100045"/>
    <d v="2025-03-28T00:00:00"/>
    <x v="0"/>
    <x v="2"/>
    <x v="1"/>
    <x v="4"/>
    <x v="1"/>
    <n v="1"/>
    <n v="0"/>
    <n v="0"/>
    <n v="0"/>
    <n v="0"/>
    <n v="4"/>
    <n v="1"/>
    <n v="0"/>
    <m/>
    <n v="56.3"/>
  </r>
  <r>
    <s v="USR-100046"/>
    <d v="2025-05-25T00:00:00"/>
    <x v="0"/>
    <x v="2"/>
    <x v="1"/>
    <x v="3"/>
    <x v="2"/>
    <n v="1"/>
    <n v="0"/>
    <n v="0"/>
    <n v="0"/>
    <n v="0"/>
    <n v="0"/>
    <n v="0"/>
    <n v="0"/>
    <m/>
    <n v="62.4"/>
  </r>
  <r>
    <s v="USR-100047"/>
    <d v="2025-05-05T00:00:00"/>
    <x v="0"/>
    <x v="1"/>
    <x v="0"/>
    <x v="1"/>
    <x v="1"/>
    <n v="1"/>
    <n v="1"/>
    <n v="1"/>
    <n v="0"/>
    <n v="0"/>
    <n v="0"/>
    <n v="0"/>
    <n v="0"/>
    <m/>
    <n v="58.1"/>
  </r>
  <r>
    <s v="USR-100048"/>
    <d v="2025-05-16T00:00:00"/>
    <x v="0"/>
    <x v="0"/>
    <x v="1"/>
    <x v="1"/>
    <x v="1"/>
    <n v="1"/>
    <n v="1"/>
    <n v="1"/>
    <n v="0"/>
    <n v="0"/>
    <n v="0"/>
    <n v="0"/>
    <n v="0"/>
    <m/>
    <n v="80.8"/>
  </r>
  <r>
    <s v="USR-100049"/>
    <d v="2025-01-08T00:00:00"/>
    <x v="0"/>
    <x v="0"/>
    <x v="1"/>
    <x v="4"/>
    <x v="1"/>
    <n v="1"/>
    <n v="1"/>
    <n v="0"/>
    <n v="0"/>
    <n v="0"/>
    <n v="0"/>
    <n v="0"/>
    <n v="0"/>
    <m/>
    <n v="42.9"/>
  </r>
  <r>
    <s v="USR-100050"/>
    <d v="2025-01-06T00:00:00"/>
    <x v="0"/>
    <x v="1"/>
    <x v="0"/>
    <x v="2"/>
    <x v="1"/>
    <n v="1"/>
    <n v="0"/>
    <n v="0"/>
    <n v="0"/>
    <n v="0"/>
    <n v="0"/>
    <n v="0"/>
    <n v="0"/>
    <m/>
    <n v="52.7"/>
  </r>
  <r>
    <s v="USR-100051"/>
    <d v="2025-01-12T00:00:00"/>
    <x v="0"/>
    <x v="0"/>
    <x v="1"/>
    <x v="4"/>
    <x v="0"/>
    <n v="0"/>
    <n v="0"/>
    <n v="0"/>
    <n v="0"/>
    <n v="0"/>
    <n v="0"/>
    <n v="0"/>
    <n v="0"/>
    <m/>
    <n v="46.9"/>
  </r>
  <r>
    <s v="USR-100052"/>
    <d v="2025-02-14T00:00:00"/>
    <x v="0"/>
    <x v="2"/>
    <x v="0"/>
    <x v="0"/>
    <x v="2"/>
    <n v="1"/>
    <n v="0"/>
    <n v="0"/>
    <n v="0"/>
    <n v="0"/>
    <n v="0"/>
    <n v="0"/>
    <n v="0"/>
    <m/>
    <n v="63"/>
  </r>
  <r>
    <s v="USR-100053"/>
    <d v="2025-03-10T00:00:00"/>
    <x v="0"/>
    <x v="3"/>
    <x v="2"/>
    <x v="1"/>
    <x v="1"/>
    <n v="0"/>
    <n v="0"/>
    <n v="0"/>
    <n v="0"/>
    <n v="0"/>
    <n v="0"/>
    <n v="0"/>
    <n v="0"/>
    <m/>
    <n v="53.6"/>
  </r>
  <r>
    <s v="USR-100054"/>
    <d v="2025-04-20T00:00:00"/>
    <x v="0"/>
    <x v="1"/>
    <x v="0"/>
    <x v="1"/>
    <x v="0"/>
    <n v="0"/>
    <n v="0"/>
    <n v="0"/>
    <n v="0"/>
    <n v="0"/>
    <n v="0"/>
    <n v="0"/>
    <n v="0"/>
    <m/>
    <n v="49.6"/>
  </r>
  <r>
    <s v="USR-100055"/>
    <d v="2025-02-19T00:00:00"/>
    <x v="0"/>
    <x v="3"/>
    <x v="1"/>
    <x v="1"/>
    <x v="1"/>
    <n v="0"/>
    <n v="0"/>
    <n v="0"/>
    <n v="0"/>
    <n v="0"/>
    <n v="0"/>
    <n v="0"/>
    <n v="0"/>
    <m/>
    <n v="54"/>
  </r>
  <r>
    <s v="USR-100056"/>
    <d v="2025-05-17T00:00:00"/>
    <x v="0"/>
    <x v="3"/>
    <x v="1"/>
    <x v="4"/>
    <x v="0"/>
    <n v="1"/>
    <n v="0"/>
    <n v="0"/>
    <n v="0"/>
    <n v="0"/>
    <n v="2"/>
    <n v="1"/>
    <n v="0"/>
    <m/>
    <n v="50"/>
  </r>
  <r>
    <s v="USR-100057"/>
    <d v="2025-04-01T00:00:00"/>
    <x v="0"/>
    <x v="2"/>
    <x v="1"/>
    <x v="4"/>
    <x v="0"/>
    <n v="0"/>
    <n v="0"/>
    <n v="0"/>
    <n v="0"/>
    <n v="0"/>
    <n v="0"/>
    <n v="0"/>
    <n v="0"/>
    <m/>
    <n v="48.1"/>
  </r>
  <r>
    <s v="USR-100058"/>
    <d v="2025-02-04T00:00:00"/>
    <x v="0"/>
    <x v="0"/>
    <x v="0"/>
    <x v="1"/>
    <x v="1"/>
    <n v="1"/>
    <n v="0"/>
    <n v="0"/>
    <n v="0"/>
    <n v="0"/>
    <n v="0"/>
    <n v="0"/>
    <n v="0"/>
    <m/>
    <n v="49.6"/>
  </r>
  <r>
    <s v="USR-100059"/>
    <d v="2025-04-14T00:00:00"/>
    <x v="0"/>
    <x v="0"/>
    <x v="1"/>
    <x v="4"/>
    <x v="1"/>
    <n v="0"/>
    <n v="0"/>
    <n v="0"/>
    <n v="0"/>
    <n v="0"/>
    <n v="2"/>
    <n v="1"/>
    <n v="0"/>
    <m/>
    <n v="48.9"/>
  </r>
  <r>
    <s v="USR-100060"/>
    <d v="2025-01-01T00:00:00"/>
    <x v="0"/>
    <x v="1"/>
    <x v="1"/>
    <x v="4"/>
    <x v="1"/>
    <n v="1"/>
    <n v="1"/>
    <n v="1"/>
    <n v="1"/>
    <n v="240.42"/>
    <n v="0"/>
    <n v="0"/>
    <n v="0"/>
    <n v="16"/>
    <n v="56.5"/>
  </r>
  <r>
    <s v="USR-100061"/>
    <d v="2025-04-02T00:00:00"/>
    <x v="0"/>
    <x v="3"/>
    <x v="1"/>
    <x v="3"/>
    <x v="1"/>
    <n v="1"/>
    <n v="0"/>
    <n v="0"/>
    <n v="0"/>
    <n v="0"/>
    <n v="0"/>
    <n v="0"/>
    <n v="0"/>
    <m/>
    <n v="53.7"/>
  </r>
  <r>
    <s v="USR-100062"/>
    <d v="2025-03-29T00:00:00"/>
    <x v="0"/>
    <x v="0"/>
    <x v="1"/>
    <x v="4"/>
    <x v="2"/>
    <n v="0"/>
    <n v="0"/>
    <n v="0"/>
    <n v="0"/>
    <n v="0"/>
    <n v="0"/>
    <n v="0"/>
    <n v="0"/>
    <m/>
    <n v="62.2"/>
  </r>
  <r>
    <s v="USR-100063"/>
    <d v="2025-05-15T00:00:00"/>
    <x v="0"/>
    <x v="3"/>
    <x v="0"/>
    <x v="1"/>
    <x v="1"/>
    <n v="1"/>
    <n v="0"/>
    <n v="0"/>
    <n v="0"/>
    <n v="0"/>
    <n v="0"/>
    <n v="0"/>
    <n v="0"/>
    <m/>
    <n v="50.2"/>
  </r>
  <r>
    <s v="USR-100064"/>
    <d v="2025-04-11T00:00:00"/>
    <x v="0"/>
    <x v="0"/>
    <x v="1"/>
    <x v="1"/>
    <x v="0"/>
    <n v="1"/>
    <n v="0"/>
    <n v="0"/>
    <n v="0"/>
    <n v="0"/>
    <n v="0"/>
    <n v="0"/>
    <n v="0"/>
    <m/>
    <n v="74.3"/>
  </r>
  <r>
    <s v="USR-100065"/>
    <d v="2025-03-07T00:00:00"/>
    <x v="0"/>
    <x v="3"/>
    <x v="0"/>
    <x v="2"/>
    <x v="1"/>
    <n v="1"/>
    <n v="0"/>
    <n v="0"/>
    <n v="0"/>
    <n v="0"/>
    <n v="0"/>
    <n v="0"/>
    <n v="0"/>
    <m/>
    <n v="58"/>
  </r>
  <r>
    <s v="USR-100066"/>
    <d v="2025-05-30T00:00:00"/>
    <x v="0"/>
    <x v="3"/>
    <x v="1"/>
    <x v="1"/>
    <x v="1"/>
    <n v="0"/>
    <n v="0"/>
    <n v="0"/>
    <n v="0"/>
    <n v="0"/>
    <n v="0"/>
    <n v="0"/>
    <n v="0"/>
    <m/>
    <n v="46.7"/>
  </r>
  <r>
    <s v="USR-100067"/>
    <d v="2025-01-07T00:00:00"/>
    <x v="0"/>
    <x v="3"/>
    <x v="0"/>
    <x v="1"/>
    <x v="2"/>
    <n v="1"/>
    <n v="0"/>
    <n v="0"/>
    <n v="0"/>
    <n v="0"/>
    <n v="1"/>
    <n v="1"/>
    <n v="0"/>
    <m/>
    <n v="49.6"/>
  </r>
  <r>
    <s v="USR-100068"/>
    <d v="2025-05-08T00:00:00"/>
    <x v="0"/>
    <x v="1"/>
    <x v="1"/>
    <x v="4"/>
    <x v="1"/>
    <n v="0"/>
    <n v="0"/>
    <n v="0"/>
    <n v="0"/>
    <n v="0"/>
    <n v="0"/>
    <n v="0"/>
    <n v="0"/>
    <m/>
    <n v="60.4"/>
  </r>
  <r>
    <s v="USR-100069"/>
    <d v="2025-03-19T00:00:00"/>
    <x v="0"/>
    <x v="2"/>
    <x v="0"/>
    <x v="0"/>
    <x v="1"/>
    <n v="1"/>
    <n v="1"/>
    <n v="1"/>
    <n v="0"/>
    <n v="0"/>
    <n v="0"/>
    <n v="0"/>
    <n v="0"/>
    <m/>
    <n v="55.3"/>
  </r>
  <r>
    <s v="USR-100070"/>
    <d v="2025-05-16T00:00:00"/>
    <x v="0"/>
    <x v="0"/>
    <x v="0"/>
    <x v="1"/>
    <x v="1"/>
    <n v="0"/>
    <n v="0"/>
    <n v="0"/>
    <n v="0"/>
    <n v="0"/>
    <n v="0"/>
    <n v="0"/>
    <n v="0"/>
    <m/>
    <n v="56.2"/>
  </r>
  <r>
    <s v="USR-100071"/>
    <d v="2025-03-08T00:00:00"/>
    <x v="0"/>
    <x v="1"/>
    <x v="1"/>
    <x v="0"/>
    <x v="1"/>
    <n v="0"/>
    <n v="0"/>
    <n v="0"/>
    <n v="0"/>
    <n v="0"/>
    <n v="0"/>
    <n v="0"/>
    <n v="0"/>
    <m/>
    <n v="29.4"/>
  </r>
  <r>
    <s v="USR-100072"/>
    <d v="2025-03-08T00:00:00"/>
    <x v="0"/>
    <x v="2"/>
    <x v="1"/>
    <x v="0"/>
    <x v="1"/>
    <n v="1"/>
    <n v="0"/>
    <n v="0"/>
    <n v="0"/>
    <n v="0"/>
    <n v="0"/>
    <n v="0"/>
    <n v="0"/>
    <m/>
    <n v="54.2"/>
  </r>
  <r>
    <s v="USR-100073"/>
    <d v="2025-01-14T00:00:00"/>
    <x v="0"/>
    <x v="2"/>
    <x v="0"/>
    <x v="2"/>
    <x v="0"/>
    <n v="0"/>
    <n v="0"/>
    <n v="0"/>
    <n v="0"/>
    <n v="0"/>
    <n v="0"/>
    <n v="0"/>
    <n v="0"/>
    <m/>
    <n v="46.4"/>
  </r>
  <r>
    <s v="USR-100074"/>
    <d v="2025-02-10T00:00:00"/>
    <x v="0"/>
    <x v="3"/>
    <x v="1"/>
    <x v="2"/>
    <x v="0"/>
    <n v="0"/>
    <n v="0"/>
    <n v="0"/>
    <n v="0"/>
    <n v="0"/>
    <n v="0"/>
    <n v="0"/>
    <n v="0"/>
    <m/>
    <n v="54.5"/>
  </r>
  <r>
    <s v="USR-100075"/>
    <d v="2025-03-17T00:00:00"/>
    <x v="0"/>
    <x v="0"/>
    <x v="1"/>
    <x v="1"/>
    <x v="1"/>
    <n v="0"/>
    <n v="0"/>
    <n v="0"/>
    <n v="0"/>
    <n v="0"/>
    <n v="0"/>
    <n v="0"/>
    <n v="0"/>
    <m/>
    <n v="58.5"/>
  </r>
  <r>
    <s v="USR-100076"/>
    <d v="2025-01-09T00:00:00"/>
    <x v="0"/>
    <x v="3"/>
    <x v="1"/>
    <x v="0"/>
    <x v="1"/>
    <n v="0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x v="1"/>
    <n v="0"/>
    <n v="0"/>
    <n v="0"/>
    <n v="0"/>
    <n v="0"/>
    <n v="1"/>
    <n v="1"/>
    <n v="0"/>
    <m/>
    <n v="84.9"/>
  </r>
  <r>
    <s v="USR-100078"/>
    <d v="2025-01-16T00:00:00"/>
    <x v="0"/>
    <x v="0"/>
    <x v="1"/>
    <x v="1"/>
    <x v="1"/>
    <n v="0"/>
    <n v="0"/>
    <n v="0"/>
    <n v="0"/>
    <n v="0"/>
    <n v="2"/>
    <n v="1"/>
    <n v="0"/>
    <m/>
    <n v="48.4"/>
  </r>
  <r>
    <s v="USR-100079"/>
    <d v="2025-02-20T00:00:00"/>
    <x v="0"/>
    <x v="1"/>
    <x v="0"/>
    <x v="1"/>
    <x v="1"/>
    <n v="1"/>
    <n v="1"/>
    <n v="1"/>
    <n v="1"/>
    <n v="457.51"/>
    <n v="0"/>
    <n v="0"/>
    <n v="0"/>
    <n v="7"/>
    <n v="38"/>
  </r>
  <r>
    <s v="USR-100080"/>
    <d v="2025-05-21T00:00:00"/>
    <x v="0"/>
    <x v="2"/>
    <x v="1"/>
    <x v="4"/>
    <x v="1"/>
    <n v="1"/>
    <n v="0"/>
    <n v="0"/>
    <n v="0"/>
    <n v="0"/>
    <n v="0"/>
    <n v="0"/>
    <n v="0"/>
    <m/>
    <n v="44.2"/>
  </r>
  <r>
    <s v="USR-100081"/>
    <d v="2025-05-08T00:00:00"/>
    <x v="0"/>
    <x v="3"/>
    <x v="1"/>
    <x v="1"/>
    <x v="1"/>
    <n v="1"/>
    <n v="1"/>
    <n v="1"/>
    <n v="0"/>
    <n v="0"/>
    <n v="0"/>
    <n v="0"/>
    <n v="0"/>
    <m/>
    <n v="81.2"/>
  </r>
  <r>
    <s v="USR-100082"/>
    <d v="2025-03-08T00:00:00"/>
    <x v="0"/>
    <x v="3"/>
    <x v="1"/>
    <x v="3"/>
    <x v="1"/>
    <n v="1"/>
    <n v="1"/>
    <n v="0"/>
    <n v="0"/>
    <n v="0"/>
    <n v="0"/>
    <n v="0"/>
    <n v="0"/>
    <m/>
    <n v="63.8"/>
  </r>
  <r>
    <s v="USR-100083"/>
    <d v="2025-04-01T00:00:00"/>
    <x v="0"/>
    <x v="3"/>
    <x v="0"/>
    <x v="0"/>
    <x v="1"/>
    <n v="0"/>
    <n v="0"/>
    <n v="0"/>
    <n v="0"/>
    <n v="0"/>
    <n v="0"/>
    <n v="0"/>
    <n v="0"/>
    <m/>
    <n v="64.7"/>
  </r>
  <r>
    <s v="USR-100084"/>
    <d v="2025-03-03T00:00:00"/>
    <x v="0"/>
    <x v="1"/>
    <x v="1"/>
    <x v="4"/>
    <x v="0"/>
    <n v="0"/>
    <n v="0"/>
    <n v="0"/>
    <n v="0"/>
    <n v="0"/>
    <n v="0"/>
    <n v="0"/>
    <n v="0"/>
    <m/>
    <n v="60.4"/>
  </r>
  <r>
    <s v="USR-100085"/>
    <d v="2025-04-16T00:00:00"/>
    <x v="0"/>
    <x v="3"/>
    <x v="1"/>
    <x v="2"/>
    <x v="1"/>
    <n v="0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x v="1"/>
    <n v="1"/>
    <n v="0"/>
    <n v="0"/>
    <n v="0"/>
    <n v="0"/>
    <n v="0"/>
    <n v="0"/>
    <n v="0"/>
    <m/>
    <n v="50.9"/>
  </r>
  <r>
    <s v="USR-100087"/>
    <d v="2025-01-22T00:00:00"/>
    <x v="0"/>
    <x v="1"/>
    <x v="0"/>
    <x v="4"/>
    <x v="0"/>
    <n v="0"/>
    <n v="0"/>
    <n v="0"/>
    <n v="0"/>
    <n v="0"/>
    <n v="0"/>
    <n v="0"/>
    <n v="0"/>
    <m/>
    <n v="51"/>
  </r>
  <r>
    <s v="USR-100088"/>
    <d v="2025-04-30T00:00:00"/>
    <x v="0"/>
    <x v="3"/>
    <x v="1"/>
    <x v="0"/>
    <x v="2"/>
    <n v="0"/>
    <n v="0"/>
    <n v="0"/>
    <n v="0"/>
    <n v="0"/>
    <n v="0"/>
    <n v="0"/>
    <n v="0"/>
    <m/>
    <n v="65.8"/>
  </r>
  <r>
    <s v="USR-100089"/>
    <d v="2025-04-25T00:00:00"/>
    <x v="0"/>
    <x v="0"/>
    <x v="1"/>
    <x v="3"/>
    <x v="0"/>
    <n v="1"/>
    <n v="0"/>
    <n v="0"/>
    <n v="0"/>
    <n v="0"/>
    <n v="0"/>
    <n v="0"/>
    <n v="0"/>
    <m/>
    <n v="61.8"/>
  </r>
  <r>
    <s v="USR-100090"/>
    <d v="2025-02-01T00:00:00"/>
    <x v="0"/>
    <x v="0"/>
    <x v="1"/>
    <x v="1"/>
    <x v="0"/>
    <n v="1"/>
    <n v="0"/>
    <n v="0"/>
    <n v="0"/>
    <n v="0"/>
    <n v="0"/>
    <n v="0"/>
    <n v="0"/>
    <m/>
    <n v="54.5"/>
  </r>
  <r>
    <s v="USR-100091"/>
    <d v="2025-04-23T00:00:00"/>
    <x v="0"/>
    <x v="3"/>
    <x v="0"/>
    <x v="1"/>
    <x v="1"/>
    <n v="1"/>
    <n v="0"/>
    <n v="0"/>
    <n v="0"/>
    <n v="0"/>
    <n v="0"/>
    <n v="0"/>
    <n v="0"/>
    <m/>
    <n v="72.2"/>
  </r>
  <r>
    <s v="USR-100092"/>
    <d v="2025-02-27T00:00:00"/>
    <x v="0"/>
    <x v="3"/>
    <x v="1"/>
    <x v="4"/>
    <x v="1"/>
    <n v="1"/>
    <n v="0"/>
    <n v="0"/>
    <n v="0"/>
    <n v="0"/>
    <n v="0"/>
    <n v="0"/>
    <n v="0"/>
    <m/>
    <n v="42.3"/>
  </r>
  <r>
    <s v="USR-100093"/>
    <d v="2025-04-09T00:00:00"/>
    <x v="0"/>
    <x v="2"/>
    <x v="0"/>
    <x v="1"/>
    <x v="0"/>
    <n v="1"/>
    <n v="0"/>
    <n v="0"/>
    <n v="0"/>
    <n v="0"/>
    <n v="0"/>
    <n v="0"/>
    <n v="0"/>
    <m/>
    <n v="76.2"/>
  </r>
  <r>
    <s v="USR-100094"/>
    <d v="2025-05-13T00:00:00"/>
    <x v="0"/>
    <x v="3"/>
    <x v="2"/>
    <x v="1"/>
    <x v="2"/>
    <n v="1"/>
    <n v="1"/>
    <n v="1"/>
    <n v="0"/>
    <n v="0"/>
    <n v="1"/>
    <n v="1"/>
    <n v="0"/>
    <m/>
    <n v="37.4"/>
  </r>
  <r>
    <s v="USR-100095"/>
    <d v="2025-04-13T00:00:00"/>
    <x v="0"/>
    <x v="2"/>
    <x v="1"/>
    <x v="1"/>
    <x v="1"/>
    <n v="0"/>
    <n v="0"/>
    <n v="0"/>
    <n v="0"/>
    <n v="0"/>
    <n v="0"/>
    <n v="0"/>
    <n v="0"/>
    <m/>
    <n v="84.2"/>
  </r>
  <r>
    <s v="USR-100096"/>
    <d v="2025-02-05T00:00:00"/>
    <x v="0"/>
    <x v="2"/>
    <x v="1"/>
    <x v="4"/>
    <x v="1"/>
    <n v="0"/>
    <n v="0"/>
    <n v="0"/>
    <n v="0"/>
    <n v="0"/>
    <n v="0"/>
    <n v="0"/>
    <n v="0"/>
    <m/>
    <n v="68"/>
  </r>
  <r>
    <s v="USR-100097"/>
    <d v="2025-02-14T00:00:00"/>
    <x v="0"/>
    <x v="1"/>
    <x v="1"/>
    <x v="1"/>
    <x v="0"/>
    <n v="1"/>
    <n v="0"/>
    <n v="0"/>
    <n v="0"/>
    <n v="0"/>
    <n v="0"/>
    <n v="0"/>
    <n v="0"/>
    <m/>
    <n v="53.5"/>
  </r>
  <r>
    <s v="USR-100098"/>
    <d v="2025-02-11T00:00:00"/>
    <x v="0"/>
    <x v="0"/>
    <x v="0"/>
    <x v="1"/>
    <x v="2"/>
    <n v="1"/>
    <n v="0"/>
    <n v="0"/>
    <n v="0"/>
    <n v="0"/>
    <n v="0"/>
    <n v="0"/>
    <n v="0"/>
    <m/>
    <n v="63.2"/>
  </r>
  <r>
    <s v="USR-100099"/>
    <d v="2025-02-11T00:00:00"/>
    <x v="0"/>
    <x v="2"/>
    <x v="0"/>
    <x v="4"/>
    <x v="1"/>
    <n v="1"/>
    <n v="1"/>
    <n v="1"/>
    <n v="1"/>
    <n v="363.32"/>
    <n v="0"/>
    <n v="0"/>
    <n v="0"/>
    <n v="9"/>
    <n v="55.9"/>
  </r>
  <r>
    <s v="USR-100100"/>
    <d v="2025-05-26T00:00:00"/>
    <x v="0"/>
    <x v="0"/>
    <x v="1"/>
    <x v="1"/>
    <x v="1"/>
    <n v="1"/>
    <n v="0"/>
    <n v="0"/>
    <n v="0"/>
    <n v="0"/>
    <n v="0"/>
    <n v="0"/>
    <n v="0"/>
    <m/>
    <n v="63.5"/>
  </r>
  <r>
    <s v="USR-100101"/>
    <d v="2025-03-22T00:00:00"/>
    <x v="0"/>
    <x v="0"/>
    <x v="1"/>
    <x v="2"/>
    <x v="0"/>
    <n v="1"/>
    <n v="0"/>
    <n v="0"/>
    <n v="0"/>
    <n v="0"/>
    <n v="0"/>
    <n v="0"/>
    <n v="0"/>
    <m/>
    <n v="51.5"/>
  </r>
  <r>
    <s v="USR-100102"/>
    <d v="2025-04-08T00:00:00"/>
    <x v="0"/>
    <x v="1"/>
    <x v="1"/>
    <x v="2"/>
    <x v="1"/>
    <n v="1"/>
    <n v="0"/>
    <n v="0"/>
    <n v="0"/>
    <n v="0"/>
    <n v="0"/>
    <n v="0"/>
    <n v="0"/>
    <m/>
    <n v="74.400000000000006"/>
  </r>
  <r>
    <s v="USR-100103"/>
    <d v="2025-04-14T00:00:00"/>
    <x v="0"/>
    <x v="0"/>
    <x v="0"/>
    <x v="4"/>
    <x v="1"/>
    <n v="1"/>
    <n v="1"/>
    <n v="1"/>
    <n v="1"/>
    <n v="3887.98"/>
    <n v="0"/>
    <n v="0"/>
    <n v="0"/>
    <n v="13"/>
    <n v="60.2"/>
  </r>
  <r>
    <s v="USR-100104"/>
    <d v="2025-03-27T00:00:00"/>
    <x v="0"/>
    <x v="3"/>
    <x v="1"/>
    <x v="0"/>
    <x v="1"/>
    <n v="1"/>
    <n v="0"/>
    <n v="0"/>
    <n v="0"/>
    <n v="0"/>
    <n v="1"/>
    <n v="1"/>
    <n v="0"/>
    <m/>
    <n v="67.2"/>
  </r>
  <r>
    <s v="USR-100105"/>
    <d v="2025-01-05T00:00:00"/>
    <x v="0"/>
    <x v="3"/>
    <x v="1"/>
    <x v="4"/>
    <x v="1"/>
    <n v="1"/>
    <n v="1"/>
    <n v="1"/>
    <n v="0"/>
    <n v="0"/>
    <n v="0"/>
    <n v="0"/>
    <n v="0"/>
    <m/>
    <n v="79.599999999999994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0"/>
    <n v="6"/>
    <n v="61"/>
  </r>
  <r>
    <s v="USR-100107"/>
    <d v="2025-01-23T00:00:00"/>
    <x v="0"/>
    <x v="1"/>
    <x v="1"/>
    <x v="0"/>
    <x v="1"/>
    <n v="1"/>
    <n v="1"/>
    <n v="1"/>
    <n v="0"/>
    <n v="0"/>
    <n v="4"/>
    <n v="1"/>
    <n v="0"/>
    <m/>
    <n v="51.1"/>
  </r>
  <r>
    <s v="USR-100108"/>
    <d v="2025-05-25T00:00:00"/>
    <x v="0"/>
    <x v="2"/>
    <x v="0"/>
    <x v="3"/>
    <x v="1"/>
    <n v="1"/>
    <n v="0"/>
    <n v="0"/>
    <n v="0"/>
    <n v="0"/>
    <n v="0"/>
    <n v="0"/>
    <n v="0"/>
    <m/>
    <n v="92.1"/>
  </r>
  <r>
    <s v="USR-100109"/>
    <d v="2025-03-22T00:00:00"/>
    <x v="0"/>
    <x v="3"/>
    <x v="1"/>
    <x v="3"/>
    <x v="0"/>
    <n v="0"/>
    <n v="0"/>
    <n v="0"/>
    <n v="0"/>
    <n v="0"/>
    <n v="0"/>
    <n v="0"/>
    <n v="0"/>
    <m/>
    <n v="82.1"/>
  </r>
  <r>
    <s v="USR-100110"/>
    <d v="2025-02-12T00:00:00"/>
    <x v="0"/>
    <x v="1"/>
    <x v="0"/>
    <x v="2"/>
    <x v="0"/>
    <n v="1"/>
    <n v="0"/>
    <n v="0"/>
    <n v="0"/>
    <n v="0"/>
    <n v="1"/>
    <n v="1"/>
    <n v="0"/>
    <m/>
    <n v="74"/>
  </r>
  <r>
    <s v="USR-100111"/>
    <d v="2025-04-28T00:00:00"/>
    <x v="0"/>
    <x v="1"/>
    <x v="0"/>
    <x v="1"/>
    <x v="0"/>
    <n v="1"/>
    <n v="0"/>
    <n v="0"/>
    <n v="0"/>
    <n v="0"/>
    <n v="0"/>
    <n v="0"/>
    <n v="0"/>
    <m/>
    <n v="63.4"/>
  </r>
  <r>
    <s v="USR-100112"/>
    <d v="2025-01-30T00:00:00"/>
    <x v="0"/>
    <x v="0"/>
    <x v="1"/>
    <x v="1"/>
    <x v="0"/>
    <n v="1"/>
    <n v="0"/>
    <n v="0"/>
    <n v="0"/>
    <n v="0"/>
    <n v="0"/>
    <n v="0"/>
    <n v="0"/>
    <m/>
    <n v="53.2"/>
  </r>
  <r>
    <s v="USR-100113"/>
    <d v="2025-05-19T00:00:00"/>
    <x v="0"/>
    <x v="2"/>
    <x v="2"/>
    <x v="2"/>
    <x v="1"/>
    <n v="0"/>
    <n v="0"/>
    <n v="0"/>
    <n v="0"/>
    <n v="0"/>
    <n v="0"/>
    <n v="0"/>
    <n v="0"/>
    <m/>
    <n v="48.1"/>
  </r>
  <r>
    <s v="USR-100114"/>
    <d v="2025-01-23T00:00:00"/>
    <x v="0"/>
    <x v="3"/>
    <x v="1"/>
    <x v="4"/>
    <x v="1"/>
    <n v="1"/>
    <n v="1"/>
    <n v="0"/>
    <n v="0"/>
    <n v="0"/>
    <n v="0"/>
    <n v="0"/>
    <n v="0"/>
    <m/>
    <n v="61.5"/>
  </r>
  <r>
    <s v="USR-100115"/>
    <d v="2025-03-28T00:00:00"/>
    <x v="0"/>
    <x v="2"/>
    <x v="0"/>
    <x v="4"/>
    <x v="1"/>
    <n v="1"/>
    <n v="0"/>
    <n v="0"/>
    <n v="0"/>
    <n v="0"/>
    <n v="0"/>
    <n v="0"/>
    <n v="0"/>
    <m/>
    <n v="63.2"/>
  </r>
  <r>
    <s v="USR-100116"/>
    <d v="2025-01-11T00:00:00"/>
    <x v="0"/>
    <x v="1"/>
    <x v="1"/>
    <x v="1"/>
    <x v="1"/>
    <n v="0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x v="1"/>
    <n v="0"/>
    <n v="0"/>
    <n v="0"/>
    <n v="0"/>
    <n v="0"/>
    <n v="0"/>
    <n v="0"/>
    <n v="0"/>
    <m/>
    <n v="62.7"/>
  </r>
  <r>
    <s v="USR-100118"/>
    <d v="2025-01-02T00:00:00"/>
    <x v="0"/>
    <x v="1"/>
    <x v="1"/>
    <x v="2"/>
    <x v="1"/>
    <n v="1"/>
    <n v="0"/>
    <n v="0"/>
    <n v="0"/>
    <n v="0"/>
    <n v="0"/>
    <n v="0"/>
    <n v="0"/>
    <m/>
    <n v="51.5"/>
  </r>
  <r>
    <s v="USR-100119"/>
    <d v="2025-03-18T00:00:00"/>
    <x v="0"/>
    <x v="2"/>
    <x v="1"/>
    <x v="4"/>
    <x v="1"/>
    <n v="1"/>
    <n v="1"/>
    <n v="1"/>
    <n v="0"/>
    <n v="0"/>
    <n v="0"/>
    <n v="0"/>
    <n v="0"/>
    <m/>
    <n v="39.1"/>
  </r>
  <r>
    <s v="USR-100120"/>
    <d v="2025-03-31T00:00:00"/>
    <x v="0"/>
    <x v="0"/>
    <x v="1"/>
    <x v="0"/>
    <x v="1"/>
    <n v="1"/>
    <n v="0"/>
    <n v="0"/>
    <n v="0"/>
    <n v="0"/>
    <n v="0"/>
    <n v="0"/>
    <n v="0"/>
    <m/>
    <n v="43.8"/>
  </r>
  <r>
    <s v="USR-100121"/>
    <d v="2025-01-06T00:00:00"/>
    <x v="0"/>
    <x v="0"/>
    <x v="1"/>
    <x v="2"/>
    <x v="0"/>
    <n v="1"/>
    <n v="0"/>
    <n v="0"/>
    <n v="0"/>
    <n v="0"/>
    <n v="0"/>
    <n v="0"/>
    <n v="0"/>
    <m/>
    <n v="59.9"/>
  </r>
  <r>
    <s v="USR-100122"/>
    <d v="2025-01-26T00:00:00"/>
    <x v="0"/>
    <x v="0"/>
    <x v="1"/>
    <x v="3"/>
    <x v="1"/>
    <n v="1"/>
    <n v="1"/>
    <n v="0"/>
    <n v="0"/>
    <n v="0"/>
    <n v="0"/>
    <n v="0"/>
    <n v="0"/>
    <m/>
    <n v="71.400000000000006"/>
  </r>
  <r>
    <s v="USR-100123"/>
    <d v="2025-04-22T00:00:00"/>
    <x v="0"/>
    <x v="3"/>
    <x v="1"/>
    <x v="3"/>
    <x v="0"/>
    <n v="0"/>
    <n v="0"/>
    <n v="0"/>
    <n v="0"/>
    <n v="0"/>
    <n v="0"/>
    <n v="0"/>
    <n v="0"/>
    <m/>
    <n v="36.1"/>
  </r>
  <r>
    <s v="USR-100124"/>
    <d v="2025-05-30T00:00:00"/>
    <x v="0"/>
    <x v="1"/>
    <x v="3"/>
    <x v="0"/>
    <x v="0"/>
    <n v="1"/>
    <n v="1"/>
    <n v="0"/>
    <n v="0"/>
    <n v="0"/>
    <n v="0"/>
    <n v="0"/>
    <n v="0"/>
    <m/>
    <n v="47.9"/>
  </r>
  <r>
    <s v="USR-100125"/>
    <d v="2025-05-18T00:00:00"/>
    <x v="0"/>
    <x v="1"/>
    <x v="0"/>
    <x v="1"/>
    <x v="2"/>
    <n v="1"/>
    <n v="0"/>
    <n v="0"/>
    <n v="0"/>
    <n v="0"/>
    <n v="0"/>
    <n v="0"/>
    <n v="0"/>
    <m/>
    <n v="62.5"/>
  </r>
  <r>
    <s v="USR-100126"/>
    <d v="2025-01-13T00:00:00"/>
    <x v="0"/>
    <x v="3"/>
    <x v="0"/>
    <x v="2"/>
    <x v="2"/>
    <n v="1"/>
    <n v="0"/>
    <n v="0"/>
    <n v="0"/>
    <n v="0"/>
    <n v="0"/>
    <n v="0"/>
    <n v="0"/>
    <m/>
    <n v="56.9"/>
  </r>
  <r>
    <s v="USR-100127"/>
    <d v="2025-03-25T00:00:00"/>
    <x v="0"/>
    <x v="0"/>
    <x v="0"/>
    <x v="0"/>
    <x v="1"/>
    <n v="0"/>
    <n v="0"/>
    <n v="0"/>
    <n v="0"/>
    <n v="0"/>
    <n v="0"/>
    <n v="0"/>
    <n v="0"/>
    <m/>
    <n v="64.7"/>
  </r>
  <r>
    <s v="USR-100128"/>
    <d v="2025-04-29T00:00:00"/>
    <x v="0"/>
    <x v="3"/>
    <x v="0"/>
    <x v="1"/>
    <x v="1"/>
    <n v="1"/>
    <n v="1"/>
    <n v="1"/>
    <n v="0"/>
    <n v="0"/>
    <n v="0"/>
    <n v="0"/>
    <n v="0"/>
    <m/>
    <n v="64"/>
  </r>
  <r>
    <s v="USR-100129"/>
    <d v="2025-05-17T00:00:00"/>
    <x v="0"/>
    <x v="2"/>
    <x v="1"/>
    <x v="3"/>
    <x v="0"/>
    <n v="1"/>
    <n v="1"/>
    <n v="1"/>
    <n v="0"/>
    <n v="0"/>
    <n v="0"/>
    <n v="0"/>
    <n v="0"/>
    <m/>
    <n v="75.2"/>
  </r>
  <r>
    <s v="USR-100130"/>
    <d v="2025-01-02T00:00:00"/>
    <x v="0"/>
    <x v="0"/>
    <x v="1"/>
    <x v="2"/>
    <x v="1"/>
    <n v="1"/>
    <n v="0"/>
    <n v="0"/>
    <n v="0"/>
    <n v="0"/>
    <n v="1"/>
    <n v="1"/>
    <n v="0"/>
    <m/>
    <n v="79"/>
  </r>
  <r>
    <s v="USR-100131"/>
    <d v="2025-02-03T00:00:00"/>
    <x v="0"/>
    <x v="3"/>
    <x v="1"/>
    <x v="1"/>
    <x v="1"/>
    <n v="0"/>
    <n v="0"/>
    <n v="0"/>
    <n v="0"/>
    <n v="0"/>
    <n v="0"/>
    <n v="0"/>
    <n v="0"/>
    <m/>
    <n v="33"/>
  </r>
  <r>
    <s v="USR-100132"/>
    <d v="2025-03-04T00:00:00"/>
    <x v="0"/>
    <x v="2"/>
    <x v="1"/>
    <x v="1"/>
    <x v="1"/>
    <n v="1"/>
    <n v="0"/>
    <n v="0"/>
    <n v="0"/>
    <n v="0"/>
    <n v="0"/>
    <n v="0"/>
    <n v="0"/>
    <m/>
    <n v="67.900000000000006"/>
  </r>
  <r>
    <s v="USR-100133"/>
    <d v="2025-01-26T00:00:00"/>
    <x v="0"/>
    <x v="3"/>
    <x v="1"/>
    <x v="2"/>
    <x v="0"/>
    <n v="0"/>
    <n v="0"/>
    <n v="0"/>
    <n v="0"/>
    <n v="0"/>
    <n v="0"/>
    <n v="0"/>
    <n v="0"/>
    <m/>
    <n v="42.2"/>
  </r>
  <r>
    <s v="USR-100134"/>
    <d v="2025-05-12T00:00:00"/>
    <x v="0"/>
    <x v="1"/>
    <x v="1"/>
    <x v="2"/>
    <x v="0"/>
    <n v="1"/>
    <n v="1"/>
    <n v="1"/>
    <n v="0"/>
    <n v="0"/>
    <n v="0"/>
    <n v="0"/>
    <n v="0"/>
    <m/>
    <n v="43.4"/>
  </r>
  <r>
    <s v="USR-100135"/>
    <d v="2025-03-06T00:00:00"/>
    <x v="0"/>
    <x v="0"/>
    <x v="1"/>
    <x v="1"/>
    <x v="0"/>
    <n v="0"/>
    <n v="0"/>
    <n v="0"/>
    <n v="0"/>
    <n v="0"/>
    <n v="0"/>
    <n v="0"/>
    <n v="0"/>
    <m/>
    <n v="54.4"/>
  </r>
  <r>
    <s v="USR-100136"/>
    <d v="2025-03-10T00:00:00"/>
    <x v="0"/>
    <x v="3"/>
    <x v="0"/>
    <x v="0"/>
    <x v="2"/>
    <n v="0"/>
    <n v="0"/>
    <n v="0"/>
    <n v="0"/>
    <n v="0"/>
    <n v="0"/>
    <n v="0"/>
    <n v="0"/>
    <m/>
    <n v="45.7"/>
  </r>
  <r>
    <s v="USR-100137"/>
    <d v="2025-05-06T00:00:00"/>
    <x v="0"/>
    <x v="0"/>
    <x v="1"/>
    <x v="2"/>
    <x v="1"/>
    <n v="0"/>
    <n v="0"/>
    <n v="0"/>
    <n v="0"/>
    <n v="0"/>
    <n v="3"/>
    <n v="1"/>
    <n v="0"/>
    <m/>
    <n v="32"/>
  </r>
  <r>
    <s v="USR-100138"/>
    <d v="2025-02-23T00:00:00"/>
    <x v="0"/>
    <x v="3"/>
    <x v="0"/>
    <x v="2"/>
    <x v="1"/>
    <n v="1"/>
    <n v="0"/>
    <n v="0"/>
    <n v="0"/>
    <n v="0"/>
    <n v="0"/>
    <n v="0"/>
    <n v="0"/>
    <m/>
    <n v="70.900000000000006"/>
  </r>
  <r>
    <s v="USR-100139"/>
    <d v="2025-01-29T00:00:00"/>
    <x v="0"/>
    <x v="1"/>
    <x v="1"/>
    <x v="4"/>
    <x v="0"/>
    <n v="1"/>
    <n v="1"/>
    <n v="1"/>
    <n v="0"/>
    <n v="0"/>
    <n v="0"/>
    <n v="0"/>
    <n v="0"/>
    <m/>
    <n v="59.1"/>
  </r>
  <r>
    <s v="USR-100140"/>
    <d v="2025-01-31T00:00:00"/>
    <x v="0"/>
    <x v="0"/>
    <x v="1"/>
    <x v="1"/>
    <x v="0"/>
    <n v="0"/>
    <n v="0"/>
    <n v="0"/>
    <n v="0"/>
    <n v="0"/>
    <n v="0"/>
    <n v="0"/>
    <n v="0"/>
    <m/>
    <n v="62.4"/>
  </r>
  <r>
    <s v="USR-100141"/>
    <d v="2025-01-19T00:00:00"/>
    <x v="0"/>
    <x v="3"/>
    <x v="1"/>
    <x v="1"/>
    <x v="1"/>
    <n v="0"/>
    <n v="0"/>
    <n v="0"/>
    <n v="0"/>
    <n v="0"/>
    <n v="0"/>
    <n v="0"/>
    <n v="0"/>
    <m/>
    <n v="49.6"/>
  </r>
  <r>
    <s v="USR-100142"/>
    <d v="2025-04-03T00:00:00"/>
    <x v="0"/>
    <x v="1"/>
    <x v="0"/>
    <x v="4"/>
    <x v="1"/>
    <n v="1"/>
    <n v="1"/>
    <n v="1"/>
    <n v="1"/>
    <n v="404.4"/>
    <n v="0"/>
    <n v="0"/>
    <n v="0"/>
    <n v="9"/>
    <n v="80.599999999999994"/>
  </r>
  <r>
    <s v="USR-100143"/>
    <d v="2025-04-07T00:00:00"/>
    <x v="0"/>
    <x v="0"/>
    <x v="1"/>
    <x v="2"/>
    <x v="1"/>
    <n v="1"/>
    <n v="0"/>
    <n v="0"/>
    <n v="0"/>
    <n v="0"/>
    <n v="0"/>
    <n v="0"/>
    <n v="0"/>
    <m/>
    <n v="47.9"/>
  </r>
  <r>
    <s v="USR-100144"/>
    <d v="2025-01-06T00:00:00"/>
    <x v="0"/>
    <x v="2"/>
    <x v="1"/>
    <x v="2"/>
    <x v="0"/>
    <n v="1"/>
    <n v="1"/>
    <n v="0"/>
    <n v="0"/>
    <n v="0"/>
    <n v="0"/>
    <n v="0"/>
    <n v="0"/>
    <m/>
    <n v="54.8"/>
  </r>
  <r>
    <s v="USR-100145"/>
    <d v="2025-04-11T00:00:00"/>
    <x v="0"/>
    <x v="2"/>
    <x v="1"/>
    <x v="1"/>
    <x v="1"/>
    <n v="1"/>
    <n v="0"/>
    <n v="0"/>
    <n v="0"/>
    <n v="0"/>
    <n v="1"/>
    <n v="1"/>
    <n v="0"/>
    <m/>
    <n v="53.9"/>
  </r>
  <r>
    <s v="USR-100146"/>
    <d v="2025-04-23T00:00:00"/>
    <x v="0"/>
    <x v="2"/>
    <x v="1"/>
    <x v="2"/>
    <x v="1"/>
    <n v="1"/>
    <n v="0"/>
    <n v="0"/>
    <n v="0"/>
    <n v="0"/>
    <n v="0"/>
    <n v="0"/>
    <n v="0"/>
    <m/>
    <n v="41.3"/>
  </r>
  <r>
    <s v="USR-100147"/>
    <d v="2025-03-25T00:00:00"/>
    <x v="0"/>
    <x v="1"/>
    <x v="1"/>
    <x v="1"/>
    <x v="0"/>
    <n v="1"/>
    <n v="1"/>
    <n v="0"/>
    <n v="0"/>
    <n v="0"/>
    <n v="0"/>
    <n v="0"/>
    <n v="0"/>
    <m/>
    <n v="38.9"/>
  </r>
  <r>
    <s v="USR-100148"/>
    <d v="2025-05-25T00:00:00"/>
    <x v="0"/>
    <x v="3"/>
    <x v="0"/>
    <x v="1"/>
    <x v="0"/>
    <n v="1"/>
    <n v="0"/>
    <n v="0"/>
    <n v="0"/>
    <n v="0"/>
    <n v="0"/>
    <n v="0"/>
    <n v="0"/>
    <m/>
    <n v="63.6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0"/>
    <n v="9"/>
    <n v="76.599999999999994"/>
  </r>
  <r>
    <s v="USR-100150"/>
    <d v="2025-02-12T00:00:00"/>
    <x v="0"/>
    <x v="1"/>
    <x v="1"/>
    <x v="2"/>
    <x v="2"/>
    <n v="0"/>
    <n v="0"/>
    <n v="0"/>
    <n v="0"/>
    <n v="0"/>
    <n v="1"/>
    <n v="1"/>
    <n v="0"/>
    <m/>
    <n v="67.599999999999994"/>
  </r>
  <r>
    <s v="USR-100151"/>
    <d v="2025-04-29T00:00:00"/>
    <x v="0"/>
    <x v="0"/>
    <x v="1"/>
    <x v="4"/>
    <x v="2"/>
    <n v="1"/>
    <n v="0"/>
    <n v="0"/>
    <n v="0"/>
    <n v="0"/>
    <n v="0"/>
    <n v="0"/>
    <n v="0"/>
    <m/>
    <n v="43.1"/>
  </r>
  <r>
    <s v="USR-100152"/>
    <d v="2025-03-13T00:00:00"/>
    <x v="0"/>
    <x v="3"/>
    <x v="1"/>
    <x v="0"/>
    <x v="1"/>
    <n v="1"/>
    <n v="0"/>
    <n v="0"/>
    <n v="0"/>
    <n v="0"/>
    <n v="0"/>
    <n v="0"/>
    <n v="0"/>
    <m/>
    <n v="58.3"/>
  </r>
  <r>
    <s v="USR-100153"/>
    <d v="2025-02-04T00:00:00"/>
    <x v="0"/>
    <x v="2"/>
    <x v="0"/>
    <x v="2"/>
    <x v="1"/>
    <n v="1"/>
    <n v="0"/>
    <n v="0"/>
    <n v="0"/>
    <n v="0"/>
    <n v="0"/>
    <n v="0"/>
    <n v="0"/>
    <m/>
    <n v="69.8"/>
  </r>
  <r>
    <s v="USR-100154"/>
    <d v="2025-03-04T00:00:00"/>
    <x v="0"/>
    <x v="3"/>
    <x v="1"/>
    <x v="3"/>
    <x v="1"/>
    <n v="1"/>
    <n v="1"/>
    <n v="0"/>
    <n v="0"/>
    <n v="0"/>
    <n v="0"/>
    <n v="0"/>
    <n v="0"/>
    <m/>
    <m/>
  </r>
  <r>
    <s v="USR-100155"/>
    <d v="2025-02-04T00:00:00"/>
    <x v="0"/>
    <x v="1"/>
    <x v="1"/>
    <x v="2"/>
    <x v="0"/>
    <n v="1"/>
    <n v="1"/>
    <n v="0"/>
    <n v="0"/>
    <n v="0"/>
    <n v="0"/>
    <n v="0"/>
    <n v="0"/>
    <m/>
    <n v="41.9"/>
  </r>
  <r>
    <s v="USR-100156"/>
    <d v="2025-03-11T00:00:00"/>
    <x v="0"/>
    <x v="0"/>
    <x v="0"/>
    <x v="1"/>
    <x v="1"/>
    <n v="0"/>
    <n v="0"/>
    <n v="0"/>
    <n v="0"/>
    <n v="0"/>
    <n v="0"/>
    <n v="0"/>
    <n v="0"/>
    <m/>
    <n v="33.1"/>
  </r>
  <r>
    <s v="USR-100157"/>
    <d v="2025-04-22T00:00:00"/>
    <x v="0"/>
    <x v="1"/>
    <x v="1"/>
    <x v="1"/>
    <x v="1"/>
    <n v="0"/>
    <n v="0"/>
    <n v="0"/>
    <n v="0"/>
    <n v="0"/>
    <n v="0"/>
    <n v="0"/>
    <n v="0"/>
    <m/>
    <n v="58.6"/>
  </r>
  <r>
    <s v="USR-100158"/>
    <d v="2025-03-08T00:00:00"/>
    <x v="0"/>
    <x v="0"/>
    <x v="0"/>
    <x v="2"/>
    <x v="1"/>
    <n v="0"/>
    <n v="0"/>
    <n v="0"/>
    <n v="0"/>
    <n v="0"/>
    <n v="0"/>
    <n v="0"/>
    <n v="0"/>
    <m/>
    <n v="55.7"/>
  </r>
  <r>
    <s v="USR-100159"/>
    <d v="2025-03-10T00:00:00"/>
    <x v="0"/>
    <x v="2"/>
    <x v="1"/>
    <x v="1"/>
    <x v="1"/>
    <n v="0"/>
    <n v="0"/>
    <n v="0"/>
    <n v="0"/>
    <n v="0"/>
    <n v="2"/>
    <n v="1"/>
    <n v="0"/>
    <m/>
    <n v="64.900000000000006"/>
  </r>
  <r>
    <s v="USR-100160"/>
    <d v="2025-05-18T00:00:00"/>
    <x v="0"/>
    <x v="0"/>
    <x v="0"/>
    <x v="2"/>
    <x v="0"/>
    <n v="0"/>
    <n v="0"/>
    <n v="0"/>
    <n v="0"/>
    <n v="0"/>
    <n v="0"/>
    <n v="0"/>
    <n v="0"/>
    <m/>
    <n v="72.3"/>
  </r>
  <r>
    <s v="USR-100161"/>
    <d v="2025-05-14T00:00:00"/>
    <x v="0"/>
    <x v="0"/>
    <x v="1"/>
    <x v="4"/>
    <x v="0"/>
    <n v="0"/>
    <n v="0"/>
    <n v="0"/>
    <n v="0"/>
    <n v="0"/>
    <n v="0"/>
    <n v="0"/>
    <n v="0"/>
    <m/>
    <n v="42.1"/>
  </r>
  <r>
    <s v="USR-100162"/>
    <d v="2025-02-01T00:00:00"/>
    <x v="0"/>
    <x v="0"/>
    <x v="1"/>
    <x v="1"/>
    <x v="1"/>
    <n v="0"/>
    <n v="0"/>
    <n v="0"/>
    <n v="0"/>
    <n v="0"/>
    <n v="0"/>
    <n v="0"/>
    <n v="0"/>
    <m/>
    <m/>
  </r>
  <r>
    <s v="USR-100163"/>
    <d v="2025-04-11T00:00:00"/>
    <x v="0"/>
    <x v="3"/>
    <x v="1"/>
    <x v="1"/>
    <x v="0"/>
    <n v="0"/>
    <n v="0"/>
    <n v="0"/>
    <n v="0"/>
    <n v="0"/>
    <n v="1"/>
    <n v="1"/>
    <n v="0"/>
    <m/>
    <n v="64.8"/>
  </r>
  <r>
    <s v="USR-100164"/>
    <d v="2025-02-14T00:00:00"/>
    <x v="0"/>
    <x v="2"/>
    <x v="1"/>
    <x v="1"/>
    <x v="1"/>
    <n v="0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x v="1"/>
    <n v="1"/>
    <n v="0"/>
    <n v="0"/>
    <n v="0"/>
    <n v="0"/>
    <n v="0"/>
    <n v="0"/>
    <n v="0"/>
    <m/>
    <n v="50.6"/>
  </r>
  <r>
    <s v="USR-100166"/>
    <d v="2025-04-26T00:00:00"/>
    <x v="0"/>
    <x v="0"/>
    <x v="0"/>
    <x v="2"/>
    <x v="0"/>
    <n v="1"/>
    <n v="1"/>
    <n v="1"/>
    <n v="1"/>
    <n v="1281.25"/>
    <n v="1"/>
    <n v="1"/>
    <n v="0"/>
    <n v="9"/>
    <n v="43.4"/>
  </r>
  <r>
    <s v="USR-100167"/>
    <d v="2025-04-06T00:00:00"/>
    <x v="0"/>
    <x v="3"/>
    <x v="1"/>
    <x v="4"/>
    <x v="1"/>
    <n v="1"/>
    <n v="0"/>
    <n v="0"/>
    <n v="0"/>
    <n v="0"/>
    <n v="0"/>
    <n v="0"/>
    <n v="0"/>
    <m/>
    <n v="59.7"/>
  </r>
  <r>
    <s v="USR-100168"/>
    <d v="2025-03-06T00:00:00"/>
    <x v="0"/>
    <x v="3"/>
    <x v="1"/>
    <x v="2"/>
    <x v="1"/>
    <n v="1"/>
    <n v="0"/>
    <n v="0"/>
    <n v="0"/>
    <n v="0"/>
    <n v="1"/>
    <n v="1"/>
    <n v="0"/>
    <m/>
    <m/>
  </r>
  <r>
    <s v="USR-100169"/>
    <d v="2025-03-10T00:00:00"/>
    <x v="0"/>
    <x v="1"/>
    <x v="1"/>
    <x v="4"/>
    <x v="0"/>
    <n v="0"/>
    <n v="0"/>
    <n v="0"/>
    <n v="0"/>
    <n v="0"/>
    <n v="0"/>
    <n v="0"/>
    <n v="0"/>
    <m/>
    <n v="54.5"/>
  </r>
  <r>
    <s v="USR-100170"/>
    <d v="2025-03-30T00:00:00"/>
    <x v="0"/>
    <x v="0"/>
    <x v="1"/>
    <x v="1"/>
    <x v="1"/>
    <n v="1"/>
    <n v="0"/>
    <n v="0"/>
    <n v="0"/>
    <n v="0"/>
    <n v="0"/>
    <n v="0"/>
    <n v="0"/>
    <m/>
    <n v="71.099999999999994"/>
  </r>
  <r>
    <s v="USR-100171"/>
    <d v="2025-05-29T00:00:00"/>
    <x v="0"/>
    <x v="2"/>
    <x v="3"/>
    <x v="2"/>
    <x v="1"/>
    <n v="1"/>
    <n v="1"/>
    <n v="1"/>
    <n v="0"/>
    <n v="0"/>
    <n v="0"/>
    <n v="0"/>
    <n v="0"/>
    <m/>
    <n v="44.4"/>
  </r>
  <r>
    <s v="USR-100172"/>
    <d v="2025-03-23T00:00:00"/>
    <x v="0"/>
    <x v="0"/>
    <x v="1"/>
    <x v="1"/>
    <x v="1"/>
    <n v="1"/>
    <n v="0"/>
    <n v="0"/>
    <n v="0"/>
    <n v="0"/>
    <n v="0"/>
    <n v="0"/>
    <n v="0"/>
    <m/>
    <n v="61.7"/>
  </r>
  <r>
    <s v="USR-100173"/>
    <d v="2025-02-18T00:00:00"/>
    <x v="0"/>
    <x v="0"/>
    <x v="2"/>
    <x v="1"/>
    <x v="0"/>
    <n v="0"/>
    <n v="0"/>
    <n v="0"/>
    <n v="0"/>
    <n v="0"/>
    <n v="1"/>
    <n v="1"/>
    <n v="0"/>
    <m/>
    <n v="81.3"/>
  </r>
  <r>
    <s v="USR-100174"/>
    <d v="2025-01-26T00:00:00"/>
    <x v="0"/>
    <x v="0"/>
    <x v="0"/>
    <x v="0"/>
    <x v="1"/>
    <n v="1"/>
    <n v="0"/>
    <n v="0"/>
    <n v="0"/>
    <n v="0"/>
    <n v="2"/>
    <n v="1"/>
    <n v="0"/>
    <m/>
    <n v="28.7"/>
  </r>
  <r>
    <s v="USR-100175"/>
    <d v="2025-04-23T00:00:00"/>
    <x v="0"/>
    <x v="2"/>
    <x v="1"/>
    <x v="4"/>
    <x v="0"/>
    <n v="0"/>
    <n v="0"/>
    <n v="0"/>
    <n v="0"/>
    <n v="0"/>
    <n v="0"/>
    <n v="0"/>
    <n v="0"/>
    <m/>
    <n v="53"/>
  </r>
  <r>
    <s v="USR-100176"/>
    <d v="2025-03-16T00:00:00"/>
    <x v="0"/>
    <x v="3"/>
    <x v="2"/>
    <x v="3"/>
    <x v="0"/>
    <n v="1"/>
    <n v="0"/>
    <n v="0"/>
    <n v="0"/>
    <n v="0"/>
    <n v="0"/>
    <n v="0"/>
    <n v="0"/>
    <m/>
    <n v="54.9"/>
  </r>
  <r>
    <s v="USR-100177"/>
    <d v="2025-04-29T00:00:00"/>
    <x v="0"/>
    <x v="1"/>
    <x v="1"/>
    <x v="1"/>
    <x v="0"/>
    <n v="1"/>
    <n v="0"/>
    <n v="0"/>
    <n v="0"/>
    <n v="0"/>
    <n v="0"/>
    <n v="0"/>
    <n v="0"/>
    <m/>
    <n v="58.2"/>
  </r>
  <r>
    <s v="USR-100178"/>
    <d v="2025-04-06T00:00:00"/>
    <x v="0"/>
    <x v="0"/>
    <x v="1"/>
    <x v="1"/>
    <x v="1"/>
    <n v="0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x v="2"/>
    <n v="1"/>
    <n v="1"/>
    <n v="1"/>
    <n v="0"/>
    <n v="0"/>
    <n v="0"/>
    <n v="0"/>
    <n v="0"/>
    <m/>
    <n v="38.4"/>
  </r>
  <r>
    <s v="USR-100180"/>
    <d v="2025-04-03T00:00:00"/>
    <x v="0"/>
    <x v="3"/>
    <x v="1"/>
    <x v="2"/>
    <x v="1"/>
    <n v="1"/>
    <n v="0"/>
    <n v="0"/>
    <n v="0"/>
    <n v="0"/>
    <n v="0"/>
    <n v="0"/>
    <n v="0"/>
    <m/>
    <n v="56.1"/>
  </r>
  <r>
    <s v="USR-100181"/>
    <d v="2025-04-25T00:00:00"/>
    <x v="0"/>
    <x v="1"/>
    <x v="1"/>
    <x v="2"/>
    <x v="1"/>
    <n v="0"/>
    <n v="0"/>
    <n v="0"/>
    <n v="0"/>
    <n v="0"/>
    <n v="0"/>
    <n v="0"/>
    <n v="0"/>
    <m/>
    <n v="62.6"/>
  </r>
  <r>
    <s v="USR-100182"/>
    <d v="2025-04-30T00:00:00"/>
    <x v="0"/>
    <x v="3"/>
    <x v="1"/>
    <x v="1"/>
    <x v="2"/>
    <n v="0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x v="1"/>
    <n v="1"/>
    <n v="0"/>
    <n v="0"/>
    <n v="0"/>
    <n v="0"/>
    <n v="0"/>
    <n v="0"/>
    <n v="0"/>
    <m/>
    <n v="52.1"/>
  </r>
  <r>
    <s v="USR-100184"/>
    <d v="2025-05-04T00:00:00"/>
    <x v="0"/>
    <x v="3"/>
    <x v="1"/>
    <x v="1"/>
    <x v="1"/>
    <n v="1"/>
    <n v="0"/>
    <n v="0"/>
    <n v="0"/>
    <n v="0"/>
    <n v="0"/>
    <n v="0"/>
    <n v="0"/>
    <m/>
    <n v="45.1"/>
  </r>
  <r>
    <s v="USR-100185"/>
    <d v="2025-02-07T00:00:00"/>
    <x v="0"/>
    <x v="3"/>
    <x v="2"/>
    <x v="2"/>
    <x v="2"/>
    <n v="0"/>
    <n v="0"/>
    <n v="0"/>
    <n v="0"/>
    <n v="0"/>
    <n v="0"/>
    <n v="0"/>
    <n v="0"/>
    <m/>
    <n v="67.5"/>
  </r>
  <r>
    <s v="USR-100186"/>
    <d v="2025-04-28T00:00:00"/>
    <x v="0"/>
    <x v="2"/>
    <x v="2"/>
    <x v="0"/>
    <x v="0"/>
    <n v="1"/>
    <n v="1"/>
    <n v="1"/>
    <n v="0"/>
    <n v="0"/>
    <n v="0"/>
    <n v="0"/>
    <n v="0"/>
    <m/>
    <n v="80"/>
  </r>
  <r>
    <s v="USR-100187"/>
    <d v="2025-05-15T00:00:00"/>
    <x v="0"/>
    <x v="2"/>
    <x v="0"/>
    <x v="3"/>
    <x v="1"/>
    <n v="0"/>
    <n v="0"/>
    <n v="0"/>
    <n v="0"/>
    <n v="0"/>
    <n v="0"/>
    <n v="0"/>
    <n v="0"/>
    <m/>
    <n v="56.4"/>
  </r>
  <r>
    <s v="USR-100188"/>
    <d v="2025-01-18T00:00:00"/>
    <x v="0"/>
    <x v="1"/>
    <x v="1"/>
    <x v="2"/>
    <x v="0"/>
    <n v="0"/>
    <n v="0"/>
    <n v="0"/>
    <n v="0"/>
    <n v="0"/>
    <n v="0"/>
    <n v="0"/>
    <n v="0"/>
    <m/>
    <n v="55.4"/>
  </r>
  <r>
    <s v="USR-100189"/>
    <d v="2025-02-15T00:00:00"/>
    <x v="0"/>
    <x v="3"/>
    <x v="1"/>
    <x v="4"/>
    <x v="0"/>
    <n v="1"/>
    <n v="0"/>
    <n v="0"/>
    <n v="0"/>
    <n v="0"/>
    <n v="0"/>
    <n v="0"/>
    <n v="0"/>
    <m/>
    <n v="67.900000000000006"/>
  </r>
  <r>
    <s v="USR-100190"/>
    <d v="2025-02-18T00:00:00"/>
    <x v="0"/>
    <x v="0"/>
    <x v="2"/>
    <x v="0"/>
    <x v="1"/>
    <n v="1"/>
    <n v="0"/>
    <n v="0"/>
    <n v="0"/>
    <n v="0"/>
    <n v="0"/>
    <n v="0"/>
    <n v="0"/>
    <m/>
    <n v="62.5"/>
  </r>
  <r>
    <s v="USR-100191"/>
    <d v="2025-01-30T00:00:00"/>
    <x v="0"/>
    <x v="3"/>
    <x v="0"/>
    <x v="0"/>
    <x v="0"/>
    <n v="1"/>
    <n v="1"/>
    <n v="1"/>
    <n v="0"/>
    <n v="0"/>
    <n v="0"/>
    <n v="0"/>
    <n v="0"/>
    <m/>
    <n v="54.3"/>
  </r>
  <r>
    <s v="USR-100192"/>
    <d v="2025-02-09T00:00:00"/>
    <x v="0"/>
    <x v="3"/>
    <x v="0"/>
    <x v="1"/>
    <x v="0"/>
    <n v="1"/>
    <n v="0"/>
    <n v="0"/>
    <n v="0"/>
    <n v="0"/>
    <n v="0"/>
    <n v="0"/>
    <n v="0"/>
    <m/>
    <n v="37.5"/>
  </r>
  <r>
    <s v="USR-100193"/>
    <d v="2025-03-16T00:00:00"/>
    <x v="0"/>
    <x v="1"/>
    <x v="1"/>
    <x v="2"/>
    <x v="0"/>
    <n v="1"/>
    <n v="0"/>
    <n v="0"/>
    <n v="0"/>
    <n v="0"/>
    <n v="0"/>
    <n v="0"/>
    <n v="0"/>
    <m/>
    <n v="52.6"/>
  </r>
  <r>
    <s v="USR-100194"/>
    <d v="2025-05-19T00:00:00"/>
    <x v="0"/>
    <x v="0"/>
    <x v="1"/>
    <x v="2"/>
    <x v="1"/>
    <n v="1"/>
    <n v="0"/>
    <n v="0"/>
    <n v="0"/>
    <n v="0"/>
    <n v="0"/>
    <n v="0"/>
    <n v="0"/>
    <m/>
    <n v="46.1"/>
  </r>
  <r>
    <s v="USR-100195"/>
    <d v="2025-05-16T00:00:00"/>
    <x v="0"/>
    <x v="3"/>
    <x v="0"/>
    <x v="1"/>
    <x v="0"/>
    <n v="1"/>
    <n v="0"/>
    <n v="0"/>
    <n v="0"/>
    <n v="0"/>
    <n v="0"/>
    <n v="0"/>
    <n v="0"/>
    <m/>
    <n v="54.7"/>
  </r>
  <r>
    <s v="USR-100196"/>
    <d v="2025-04-25T00:00:00"/>
    <x v="0"/>
    <x v="1"/>
    <x v="0"/>
    <x v="3"/>
    <x v="0"/>
    <n v="0"/>
    <n v="0"/>
    <n v="0"/>
    <n v="0"/>
    <n v="0"/>
    <n v="0"/>
    <n v="0"/>
    <n v="0"/>
    <m/>
    <n v="74.2"/>
  </r>
  <r>
    <s v="USR-100197"/>
    <d v="2025-02-27T00:00:00"/>
    <x v="0"/>
    <x v="0"/>
    <x v="1"/>
    <x v="4"/>
    <x v="0"/>
    <n v="1"/>
    <n v="1"/>
    <n v="1"/>
    <n v="1"/>
    <n v="1052.8"/>
    <n v="2"/>
    <n v="1"/>
    <n v="0"/>
    <n v="6"/>
    <n v="64.7"/>
  </r>
  <r>
    <s v="USR-100198"/>
    <d v="2025-04-26T00:00:00"/>
    <x v="0"/>
    <x v="3"/>
    <x v="1"/>
    <x v="2"/>
    <x v="0"/>
    <n v="0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x v="0"/>
    <n v="1"/>
    <n v="0"/>
    <n v="0"/>
    <n v="0"/>
    <n v="0"/>
    <n v="0"/>
    <n v="0"/>
    <n v="0"/>
    <m/>
    <n v="64"/>
  </r>
  <r>
    <s v="USR-100200"/>
    <d v="2025-03-05T00:00:00"/>
    <x v="0"/>
    <x v="0"/>
    <x v="1"/>
    <x v="1"/>
    <x v="2"/>
    <n v="1"/>
    <n v="0"/>
    <n v="0"/>
    <n v="0"/>
    <n v="0"/>
    <n v="0"/>
    <n v="0"/>
    <n v="0"/>
    <m/>
    <n v="57.2"/>
  </r>
  <r>
    <s v="USR-100201"/>
    <d v="2025-04-02T00:00:00"/>
    <x v="0"/>
    <x v="1"/>
    <x v="0"/>
    <x v="1"/>
    <x v="1"/>
    <n v="1"/>
    <n v="0"/>
    <n v="0"/>
    <n v="0"/>
    <n v="0"/>
    <n v="0"/>
    <n v="0"/>
    <n v="0"/>
    <m/>
    <n v="80.5"/>
  </r>
  <r>
    <s v="USR-100202"/>
    <d v="2025-05-14T00:00:00"/>
    <x v="0"/>
    <x v="3"/>
    <x v="2"/>
    <x v="1"/>
    <x v="1"/>
    <n v="0"/>
    <n v="0"/>
    <n v="0"/>
    <n v="0"/>
    <n v="0"/>
    <n v="0"/>
    <n v="0"/>
    <n v="0"/>
    <m/>
    <n v="53.9"/>
  </r>
  <r>
    <s v="USR-100203"/>
    <d v="2025-05-21T00:00:00"/>
    <x v="0"/>
    <x v="0"/>
    <x v="1"/>
    <x v="2"/>
    <x v="1"/>
    <n v="1"/>
    <n v="1"/>
    <n v="0"/>
    <n v="0"/>
    <n v="0"/>
    <n v="0"/>
    <n v="0"/>
    <n v="0"/>
    <m/>
    <n v="77.5"/>
  </r>
  <r>
    <s v="USR-100204"/>
    <d v="2025-01-27T00:00:00"/>
    <x v="0"/>
    <x v="2"/>
    <x v="1"/>
    <x v="4"/>
    <x v="0"/>
    <n v="0"/>
    <n v="0"/>
    <n v="0"/>
    <n v="0"/>
    <n v="0"/>
    <n v="0"/>
    <n v="0"/>
    <n v="0"/>
    <m/>
    <n v="84.2"/>
  </r>
  <r>
    <s v="USR-100205"/>
    <d v="2025-05-22T00:00:00"/>
    <x v="0"/>
    <x v="1"/>
    <x v="0"/>
    <x v="1"/>
    <x v="1"/>
    <n v="1"/>
    <n v="1"/>
    <n v="0"/>
    <n v="0"/>
    <n v="0"/>
    <n v="0"/>
    <n v="0"/>
    <n v="0"/>
    <m/>
    <n v="54.9"/>
  </r>
  <r>
    <s v="USR-100206"/>
    <d v="2025-05-19T00:00:00"/>
    <x v="0"/>
    <x v="3"/>
    <x v="1"/>
    <x v="2"/>
    <x v="1"/>
    <n v="0"/>
    <n v="0"/>
    <n v="0"/>
    <n v="0"/>
    <n v="0"/>
    <n v="0"/>
    <n v="0"/>
    <n v="0"/>
    <m/>
    <n v="69.3"/>
  </r>
  <r>
    <s v="USR-100207"/>
    <d v="2025-01-14T00:00:00"/>
    <x v="0"/>
    <x v="3"/>
    <x v="0"/>
    <x v="2"/>
    <x v="1"/>
    <n v="1"/>
    <n v="0"/>
    <n v="0"/>
    <n v="0"/>
    <n v="0"/>
    <n v="2"/>
    <n v="1"/>
    <n v="0"/>
    <m/>
    <n v="42.3"/>
  </r>
  <r>
    <s v="USR-100208"/>
    <d v="2025-01-21T00:00:00"/>
    <x v="0"/>
    <x v="0"/>
    <x v="0"/>
    <x v="3"/>
    <x v="2"/>
    <n v="1"/>
    <n v="0"/>
    <n v="0"/>
    <n v="0"/>
    <n v="0"/>
    <n v="1"/>
    <n v="1"/>
    <n v="0"/>
    <m/>
    <n v="69.599999999999994"/>
  </r>
  <r>
    <s v="USR-100209"/>
    <d v="2025-05-16T00:00:00"/>
    <x v="0"/>
    <x v="2"/>
    <x v="1"/>
    <x v="1"/>
    <x v="1"/>
    <n v="0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x v="1"/>
    <n v="1"/>
    <n v="0"/>
    <n v="0"/>
    <n v="0"/>
    <n v="0"/>
    <n v="0"/>
    <n v="0"/>
    <n v="0"/>
    <m/>
    <n v="54"/>
  </r>
  <r>
    <s v="USR-100211"/>
    <d v="2025-03-23T00:00:00"/>
    <x v="0"/>
    <x v="2"/>
    <x v="3"/>
    <x v="3"/>
    <x v="1"/>
    <n v="1"/>
    <n v="1"/>
    <n v="1"/>
    <n v="1"/>
    <n v="553.37"/>
    <n v="0"/>
    <n v="0"/>
    <n v="0"/>
    <n v="5"/>
    <n v="46.3"/>
  </r>
  <r>
    <s v="USR-100212"/>
    <d v="2025-01-24T00:00:00"/>
    <x v="0"/>
    <x v="2"/>
    <x v="1"/>
    <x v="1"/>
    <x v="1"/>
    <n v="1"/>
    <n v="0"/>
    <n v="0"/>
    <n v="0"/>
    <n v="0"/>
    <n v="0"/>
    <n v="0"/>
    <n v="0"/>
    <m/>
    <n v="64.2"/>
  </r>
  <r>
    <s v="USR-100213"/>
    <d v="2025-04-12T00:00:00"/>
    <x v="0"/>
    <x v="0"/>
    <x v="0"/>
    <x v="1"/>
    <x v="1"/>
    <n v="1"/>
    <n v="0"/>
    <n v="0"/>
    <n v="0"/>
    <n v="0"/>
    <n v="0"/>
    <n v="0"/>
    <n v="0"/>
    <m/>
    <n v="75.2"/>
  </r>
  <r>
    <s v="USR-100214"/>
    <d v="2025-02-18T00:00:00"/>
    <x v="0"/>
    <x v="2"/>
    <x v="0"/>
    <x v="2"/>
    <x v="1"/>
    <n v="1"/>
    <n v="1"/>
    <n v="0"/>
    <n v="0"/>
    <n v="0"/>
    <n v="0"/>
    <n v="0"/>
    <n v="0"/>
    <m/>
    <n v="60.9"/>
  </r>
  <r>
    <s v="USR-100215"/>
    <d v="2025-05-28T00:00:00"/>
    <x v="0"/>
    <x v="3"/>
    <x v="1"/>
    <x v="0"/>
    <x v="0"/>
    <n v="1"/>
    <n v="1"/>
    <n v="1"/>
    <n v="0"/>
    <n v="0"/>
    <n v="0"/>
    <n v="0"/>
    <n v="0"/>
    <m/>
    <n v="62.1"/>
  </r>
  <r>
    <s v="USR-100216"/>
    <d v="2025-04-18T00:00:00"/>
    <x v="0"/>
    <x v="3"/>
    <x v="1"/>
    <x v="4"/>
    <x v="0"/>
    <n v="0"/>
    <n v="0"/>
    <n v="0"/>
    <n v="0"/>
    <n v="0"/>
    <n v="0"/>
    <n v="0"/>
    <n v="0"/>
    <m/>
    <n v="45.4"/>
  </r>
  <r>
    <s v="USR-100217"/>
    <d v="2025-03-27T00:00:00"/>
    <x v="0"/>
    <x v="0"/>
    <x v="1"/>
    <x v="2"/>
    <x v="0"/>
    <n v="1"/>
    <n v="0"/>
    <n v="0"/>
    <n v="0"/>
    <n v="0"/>
    <n v="0"/>
    <n v="0"/>
    <n v="0"/>
    <m/>
    <n v="53.3"/>
  </r>
  <r>
    <s v="USR-100218"/>
    <d v="2025-02-25T00:00:00"/>
    <x v="0"/>
    <x v="0"/>
    <x v="2"/>
    <x v="4"/>
    <x v="1"/>
    <n v="1"/>
    <n v="0"/>
    <n v="0"/>
    <n v="0"/>
    <n v="0"/>
    <n v="0"/>
    <n v="0"/>
    <n v="0"/>
    <m/>
    <m/>
  </r>
  <r>
    <s v="USR-100219"/>
    <d v="2025-02-19T00:00:00"/>
    <x v="0"/>
    <x v="2"/>
    <x v="1"/>
    <x v="2"/>
    <x v="1"/>
    <n v="0"/>
    <n v="0"/>
    <n v="0"/>
    <n v="0"/>
    <n v="0"/>
    <n v="1"/>
    <n v="1"/>
    <n v="0"/>
    <m/>
    <n v="38.200000000000003"/>
  </r>
  <r>
    <s v="USR-100220"/>
    <d v="2025-04-11T00:00:00"/>
    <x v="0"/>
    <x v="1"/>
    <x v="1"/>
    <x v="2"/>
    <x v="1"/>
    <n v="1"/>
    <n v="1"/>
    <n v="0"/>
    <n v="0"/>
    <n v="0"/>
    <n v="3"/>
    <n v="1"/>
    <n v="0"/>
    <m/>
    <n v="59"/>
  </r>
  <r>
    <s v="USR-100221"/>
    <d v="2025-01-22T00:00:00"/>
    <x v="0"/>
    <x v="2"/>
    <x v="2"/>
    <x v="3"/>
    <x v="2"/>
    <n v="1"/>
    <n v="1"/>
    <n v="1"/>
    <n v="0"/>
    <n v="0"/>
    <n v="0"/>
    <n v="0"/>
    <n v="0"/>
    <m/>
    <n v="80.599999999999994"/>
  </r>
  <r>
    <s v="USR-100222"/>
    <d v="2025-01-12T00:00:00"/>
    <x v="0"/>
    <x v="3"/>
    <x v="1"/>
    <x v="4"/>
    <x v="1"/>
    <n v="1"/>
    <n v="0"/>
    <n v="0"/>
    <n v="0"/>
    <n v="0"/>
    <n v="0"/>
    <n v="0"/>
    <n v="0"/>
    <m/>
    <n v="67"/>
  </r>
  <r>
    <s v="USR-100223"/>
    <d v="2025-02-17T00:00:00"/>
    <x v="0"/>
    <x v="1"/>
    <x v="1"/>
    <x v="0"/>
    <x v="1"/>
    <n v="1"/>
    <n v="0"/>
    <n v="0"/>
    <n v="0"/>
    <n v="0"/>
    <n v="1"/>
    <n v="1"/>
    <n v="0"/>
    <m/>
    <n v="72.099999999999994"/>
  </r>
  <r>
    <s v="USR-100224"/>
    <d v="2025-04-11T00:00:00"/>
    <x v="0"/>
    <x v="1"/>
    <x v="0"/>
    <x v="1"/>
    <x v="1"/>
    <n v="0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x v="2"/>
    <n v="0"/>
    <n v="0"/>
    <n v="0"/>
    <n v="0"/>
    <n v="0"/>
    <n v="0"/>
    <n v="0"/>
    <n v="0"/>
    <m/>
    <n v="84.8"/>
  </r>
  <r>
    <s v="USR-100226"/>
    <d v="2025-03-12T00:00:00"/>
    <x v="0"/>
    <x v="3"/>
    <x v="1"/>
    <x v="1"/>
    <x v="0"/>
    <n v="1"/>
    <n v="0"/>
    <n v="0"/>
    <n v="0"/>
    <n v="0"/>
    <n v="0"/>
    <n v="0"/>
    <n v="0"/>
    <m/>
    <n v="33"/>
  </r>
  <r>
    <s v="USR-100227"/>
    <d v="2025-04-20T00:00:00"/>
    <x v="0"/>
    <x v="0"/>
    <x v="2"/>
    <x v="0"/>
    <x v="1"/>
    <n v="0"/>
    <n v="0"/>
    <n v="0"/>
    <n v="0"/>
    <n v="0"/>
    <n v="0"/>
    <n v="0"/>
    <n v="0"/>
    <m/>
    <n v="52.5"/>
  </r>
  <r>
    <s v="USR-100228"/>
    <d v="2025-02-23T00:00:00"/>
    <x v="0"/>
    <x v="0"/>
    <x v="2"/>
    <x v="1"/>
    <x v="1"/>
    <n v="0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x v="0"/>
    <n v="1"/>
    <n v="1"/>
    <n v="1"/>
    <n v="0"/>
    <n v="0"/>
    <n v="1"/>
    <n v="1"/>
    <n v="0"/>
    <m/>
    <n v="32.700000000000003"/>
  </r>
  <r>
    <s v="USR-100230"/>
    <d v="2025-01-16T00:00:00"/>
    <x v="0"/>
    <x v="1"/>
    <x v="1"/>
    <x v="1"/>
    <x v="2"/>
    <n v="1"/>
    <n v="1"/>
    <n v="1"/>
    <n v="0"/>
    <n v="0"/>
    <n v="1"/>
    <n v="1"/>
    <n v="0"/>
    <m/>
    <n v="70.599999999999994"/>
  </r>
  <r>
    <s v="USR-100231"/>
    <d v="2025-02-17T00:00:00"/>
    <x v="0"/>
    <x v="0"/>
    <x v="1"/>
    <x v="4"/>
    <x v="1"/>
    <n v="0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x v="0"/>
    <n v="1"/>
    <n v="0"/>
    <n v="0"/>
    <n v="0"/>
    <n v="0"/>
    <n v="0"/>
    <n v="0"/>
    <n v="0"/>
    <m/>
    <n v="56.1"/>
  </r>
  <r>
    <s v="USR-100233"/>
    <d v="2025-01-12T00:00:00"/>
    <x v="0"/>
    <x v="1"/>
    <x v="1"/>
    <x v="1"/>
    <x v="0"/>
    <n v="0"/>
    <n v="0"/>
    <n v="0"/>
    <n v="0"/>
    <n v="0"/>
    <n v="0"/>
    <n v="0"/>
    <n v="0"/>
    <m/>
    <n v="55.8"/>
  </r>
  <r>
    <s v="USR-100234"/>
    <d v="2025-04-28T00:00:00"/>
    <x v="0"/>
    <x v="0"/>
    <x v="2"/>
    <x v="1"/>
    <x v="1"/>
    <n v="0"/>
    <n v="0"/>
    <n v="0"/>
    <n v="0"/>
    <n v="0"/>
    <n v="0"/>
    <n v="0"/>
    <n v="0"/>
    <m/>
    <n v="49.3"/>
  </r>
  <r>
    <s v="USR-100235"/>
    <d v="2025-02-26T00:00:00"/>
    <x v="0"/>
    <x v="0"/>
    <x v="1"/>
    <x v="1"/>
    <x v="1"/>
    <n v="0"/>
    <n v="0"/>
    <n v="0"/>
    <n v="0"/>
    <n v="0"/>
    <n v="0"/>
    <n v="0"/>
    <n v="0"/>
    <m/>
    <n v="71.8"/>
  </r>
  <r>
    <s v="USR-100236"/>
    <d v="2025-03-18T00:00:00"/>
    <x v="0"/>
    <x v="1"/>
    <x v="1"/>
    <x v="4"/>
    <x v="1"/>
    <n v="1"/>
    <n v="0"/>
    <n v="0"/>
    <n v="0"/>
    <n v="0"/>
    <n v="3"/>
    <n v="1"/>
    <n v="0"/>
    <m/>
    <n v="39.700000000000003"/>
  </r>
  <r>
    <s v="USR-100237"/>
    <d v="2025-03-01T00:00:00"/>
    <x v="0"/>
    <x v="3"/>
    <x v="0"/>
    <x v="1"/>
    <x v="2"/>
    <n v="1"/>
    <n v="0"/>
    <n v="0"/>
    <n v="0"/>
    <n v="0"/>
    <n v="0"/>
    <n v="0"/>
    <n v="0"/>
    <m/>
    <n v="45.4"/>
  </r>
  <r>
    <s v="USR-100238"/>
    <d v="2025-04-05T00:00:00"/>
    <x v="0"/>
    <x v="0"/>
    <x v="0"/>
    <x v="4"/>
    <x v="2"/>
    <n v="1"/>
    <n v="0"/>
    <n v="0"/>
    <n v="0"/>
    <n v="0"/>
    <n v="0"/>
    <n v="0"/>
    <n v="0"/>
    <m/>
    <n v="69.900000000000006"/>
  </r>
  <r>
    <s v="USR-100239"/>
    <d v="2025-03-12T00:00:00"/>
    <x v="0"/>
    <x v="0"/>
    <x v="0"/>
    <x v="4"/>
    <x v="1"/>
    <n v="1"/>
    <n v="1"/>
    <n v="1"/>
    <n v="0"/>
    <n v="0"/>
    <n v="0"/>
    <n v="0"/>
    <n v="0"/>
    <m/>
    <n v="56.1"/>
  </r>
  <r>
    <s v="USR-100240"/>
    <d v="2025-03-15T00:00:00"/>
    <x v="0"/>
    <x v="1"/>
    <x v="1"/>
    <x v="3"/>
    <x v="0"/>
    <n v="1"/>
    <n v="1"/>
    <n v="0"/>
    <n v="0"/>
    <n v="0"/>
    <n v="0"/>
    <n v="0"/>
    <n v="0"/>
    <m/>
    <n v="45.9"/>
  </r>
  <r>
    <s v="USR-100241"/>
    <d v="2025-02-23T00:00:00"/>
    <x v="0"/>
    <x v="1"/>
    <x v="1"/>
    <x v="0"/>
    <x v="1"/>
    <n v="0"/>
    <n v="0"/>
    <n v="0"/>
    <n v="0"/>
    <n v="0"/>
    <n v="0"/>
    <n v="0"/>
    <n v="0"/>
    <m/>
    <n v="65.8"/>
  </r>
  <r>
    <s v="USR-100242"/>
    <d v="2025-04-22T00:00:00"/>
    <x v="0"/>
    <x v="0"/>
    <x v="1"/>
    <x v="1"/>
    <x v="0"/>
    <n v="1"/>
    <n v="0"/>
    <n v="0"/>
    <n v="0"/>
    <n v="0"/>
    <n v="0"/>
    <n v="0"/>
    <n v="0"/>
    <m/>
    <n v="48.2"/>
  </r>
  <r>
    <s v="USR-100243"/>
    <d v="2025-01-09T00:00:00"/>
    <x v="0"/>
    <x v="2"/>
    <x v="1"/>
    <x v="1"/>
    <x v="0"/>
    <n v="1"/>
    <n v="1"/>
    <n v="1"/>
    <n v="0"/>
    <n v="0"/>
    <n v="0"/>
    <n v="0"/>
    <n v="0"/>
    <m/>
    <n v="81.099999999999994"/>
  </r>
  <r>
    <s v="USR-100244"/>
    <d v="2025-03-05T00:00:00"/>
    <x v="0"/>
    <x v="2"/>
    <x v="2"/>
    <x v="4"/>
    <x v="2"/>
    <n v="1"/>
    <n v="1"/>
    <n v="0"/>
    <n v="0"/>
    <n v="0"/>
    <n v="0"/>
    <n v="0"/>
    <n v="0"/>
    <m/>
    <n v="53.2"/>
  </r>
  <r>
    <s v="USR-100245"/>
    <d v="2025-01-28T00:00:00"/>
    <x v="0"/>
    <x v="0"/>
    <x v="1"/>
    <x v="4"/>
    <x v="1"/>
    <n v="1"/>
    <n v="1"/>
    <n v="1"/>
    <n v="0"/>
    <n v="0"/>
    <n v="0"/>
    <n v="0"/>
    <n v="0"/>
    <m/>
    <n v="57.7"/>
  </r>
  <r>
    <s v="USR-100246"/>
    <d v="2025-01-21T00:00:00"/>
    <x v="0"/>
    <x v="1"/>
    <x v="1"/>
    <x v="2"/>
    <x v="2"/>
    <n v="1"/>
    <n v="1"/>
    <n v="0"/>
    <n v="0"/>
    <n v="0"/>
    <n v="0"/>
    <n v="0"/>
    <n v="0"/>
    <m/>
    <n v="78.900000000000006"/>
  </r>
  <r>
    <s v="USR-100247"/>
    <d v="2025-03-14T00:00:00"/>
    <x v="0"/>
    <x v="3"/>
    <x v="1"/>
    <x v="3"/>
    <x v="0"/>
    <n v="0"/>
    <n v="0"/>
    <n v="0"/>
    <n v="0"/>
    <n v="0"/>
    <n v="0"/>
    <n v="0"/>
    <n v="0"/>
    <m/>
    <n v="55.7"/>
  </r>
  <r>
    <s v="USR-100248"/>
    <d v="2025-02-03T00:00:00"/>
    <x v="0"/>
    <x v="1"/>
    <x v="1"/>
    <x v="2"/>
    <x v="1"/>
    <n v="0"/>
    <n v="0"/>
    <n v="0"/>
    <n v="0"/>
    <n v="0"/>
    <n v="0"/>
    <n v="0"/>
    <n v="0"/>
    <m/>
    <n v="52.3"/>
  </r>
  <r>
    <s v="USR-100249"/>
    <d v="2025-05-22T00:00:00"/>
    <x v="0"/>
    <x v="0"/>
    <x v="1"/>
    <x v="4"/>
    <x v="1"/>
    <n v="1"/>
    <n v="0"/>
    <n v="0"/>
    <n v="0"/>
    <n v="0"/>
    <n v="0"/>
    <n v="0"/>
    <n v="0"/>
    <m/>
    <n v="51.5"/>
  </r>
  <r>
    <s v="USR-100250"/>
    <d v="2025-04-25T00:00:00"/>
    <x v="0"/>
    <x v="0"/>
    <x v="0"/>
    <x v="0"/>
    <x v="1"/>
    <n v="1"/>
    <n v="0"/>
    <n v="0"/>
    <n v="0"/>
    <n v="0"/>
    <n v="0"/>
    <n v="0"/>
    <n v="0"/>
    <m/>
    <n v="70.8"/>
  </r>
  <r>
    <s v="USR-100251"/>
    <d v="2025-01-30T00:00:00"/>
    <x v="0"/>
    <x v="0"/>
    <x v="0"/>
    <x v="0"/>
    <x v="0"/>
    <n v="1"/>
    <n v="1"/>
    <n v="1"/>
    <n v="1"/>
    <n v="1250.78"/>
    <n v="0"/>
    <n v="0"/>
    <n v="0"/>
    <n v="10"/>
    <n v="39"/>
  </r>
  <r>
    <s v="USR-100252"/>
    <d v="2025-05-23T00:00:00"/>
    <x v="0"/>
    <x v="1"/>
    <x v="1"/>
    <x v="1"/>
    <x v="1"/>
    <n v="1"/>
    <n v="0"/>
    <n v="0"/>
    <n v="0"/>
    <n v="0"/>
    <n v="0"/>
    <n v="0"/>
    <n v="0"/>
    <m/>
    <n v="61.6"/>
  </r>
  <r>
    <s v="USR-100253"/>
    <d v="2025-02-14T00:00:00"/>
    <x v="0"/>
    <x v="2"/>
    <x v="0"/>
    <x v="1"/>
    <x v="1"/>
    <n v="1"/>
    <n v="1"/>
    <n v="1"/>
    <n v="0"/>
    <n v="0"/>
    <n v="0"/>
    <n v="0"/>
    <n v="0"/>
    <m/>
    <n v="46.8"/>
  </r>
  <r>
    <s v="USR-100254"/>
    <d v="2025-03-05T00:00:00"/>
    <x v="0"/>
    <x v="0"/>
    <x v="1"/>
    <x v="2"/>
    <x v="2"/>
    <n v="0"/>
    <n v="0"/>
    <n v="0"/>
    <n v="0"/>
    <n v="0"/>
    <n v="1"/>
    <n v="1"/>
    <n v="0"/>
    <m/>
    <n v="58.5"/>
  </r>
  <r>
    <s v="USR-100255"/>
    <d v="2025-05-27T00:00:00"/>
    <x v="0"/>
    <x v="0"/>
    <x v="1"/>
    <x v="2"/>
    <x v="0"/>
    <n v="0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x v="1"/>
    <n v="1"/>
    <n v="0"/>
    <n v="0"/>
    <n v="0"/>
    <n v="0"/>
    <n v="0"/>
    <n v="0"/>
    <n v="0"/>
    <m/>
    <n v="48.4"/>
  </r>
  <r>
    <s v="USR-100257"/>
    <d v="2025-04-21T00:00:00"/>
    <x v="0"/>
    <x v="0"/>
    <x v="1"/>
    <x v="0"/>
    <x v="1"/>
    <n v="1"/>
    <n v="0"/>
    <n v="0"/>
    <n v="0"/>
    <n v="0"/>
    <n v="0"/>
    <n v="0"/>
    <n v="0"/>
    <m/>
    <n v="58"/>
  </r>
  <r>
    <s v="USR-100258"/>
    <d v="2025-05-13T00:00:00"/>
    <x v="0"/>
    <x v="0"/>
    <x v="1"/>
    <x v="2"/>
    <x v="1"/>
    <n v="0"/>
    <n v="0"/>
    <n v="0"/>
    <n v="0"/>
    <n v="0"/>
    <n v="0"/>
    <n v="0"/>
    <n v="0"/>
    <m/>
    <n v="61.6"/>
  </r>
  <r>
    <s v="USR-100259"/>
    <d v="2025-01-28T00:00:00"/>
    <x v="0"/>
    <x v="2"/>
    <x v="0"/>
    <x v="1"/>
    <x v="1"/>
    <n v="1"/>
    <n v="0"/>
    <n v="0"/>
    <n v="0"/>
    <n v="0"/>
    <n v="0"/>
    <n v="0"/>
    <n v="0"/>
    <m/>
    <n v="43.2"/>
  </r>
  <r>
    <s v="USR-100260"/>
    <d v="2025-03-16T00:00:00"/>
    <x v="0"/>
    <x v="2"/>
    <x v="0"/>
    <x v="2"/>
    <x v="0"/>
    <n v="1"/>
    <n v="0"/>
    <n v="0"/>
    <n v="0"/>
    <n v="0"/>
    <n v="1"/>
    <n v="1"/>
    <n v="0"/>
    <m/>
    <n v="53.3"/>
  </r>
  <r>
    <s v="USR-100261"/>
    <d v="2025-04-10T00:00:00"/>
    <x v="0"/>
    <x v="2"/>
    <x v="0"/>
    <x v="4"/>
    <x v="0"/>
    <n v="0"/>
    <n v="0"/>
    <n v="0"/>
    <n v="0"/>
    <n v="0"/>
    <n v="0"/>
    <n v="0"/>
    <n v="0"/>
    <m/>
    <n v="33.9"/>
  </r>
  <r>
    <s v="USR-100262"/>
    <d v="2025-03-15T00:00:00"/>
    <x v="0"/>
    <x v="2"/>
    <x v="0"/>
    <x v="3"/>
    <x v="1"/>
    <n v="1"/>
    <n v="1"/>
    <n v="1"/>
    <n v="0"/>
    <n v="0"/>
    <n v="0"/>
    <n v="0"/>
    <n v="0"/>
    <m/>
    <n v="35.4"/>
  </r>
  <r>
    <s v="USR-100263"/>
    <d v="2025-04-07T00:00:00"/>
    <x v="0"/>
    <x v="1"/>
    <x v="0"/>
    <x v="1"/>
    <x v="0"/>
    <n v="1"/>
    <n v="0"/>
    <n v="0"/>
    <n v="0"/>
    <n v="0"/>
    <n v="0"/>
    <n v="0"/>
    <n v="0"/>
    <m/>
    <n v="45"/>
  </r>
  <r>
    <s v="USR-100264"/>
    <d v="2025-02-12T00:00:00"/>
    <x v="0"/>
    <x v="3"/>
    <x v="1"/>
    <x v="1"/>
    <x v="1"/>
    <n v="1"/>
    <n v="1"/>
    <n v="0"/>
    <n v="0"/>
    <n v="0"/>
    <n v="0"/>
    <n v="0"/>
    <n v="0"/>
    <m/>
    <n v="86.5"/>
  </r>
  <r>
    <s v="USR-100265"/>
    <d v="2025-05-05T00:00:00"/>
    <x v="0"/>
    <x v="1"/>
    <x v="1"/>
    <x v="4"/>
    <x v="1"/>
    <n v="0"/>
    <n v="0"/>
    <n v="0"/>
    <n v="0"/>
    <n v="0"/>
    <n v="0"/>
    <n v="0"/>
    <n v="0"/>
    <m/>
    <n v="58.1"/>
  </r>
  <r>
    <s v="USR-100266"/>
    <d v="2025-03-11T00:00:00"/>
    <x v="0"/>
    <x v="1"/>
    <x v="1"/>
    <x v="3"/>
    <x v="1"/>
    <n v="1"/>
    <n v="0"/>
    <n v="0"/>
    <n v="0"/>
    <n v="0"/>
    <n v="0"/>
    <n v="0"/>
    <n v="0"/>
    <m/>
    <n v="36.1"/>
  </r>
  <r>
    <s v="USR-100267"/>
    <d v="2025-02-10T00:00:00"/>
    <x v="0"/>
    <x v="2"/>
    <x v="1"/>
    <x v="4"/>
    <x v="1"/>
    <n v="0"/>
    <n v="0"/>
    <n v="0"/>
    <n v="0"/>
    <n v="0"/>
    <n v="0"/>
    <n v="0"/>
    <n v="0"/>
    <m/>
    <n v="62.8"/>
  </r>
  <r>
    <s v="USR-100268"/>
    <d v="2025-04-06T00:00:00"/>
    <x v="0"/>
    <x v="3"/>
    <x v="1"/>
    <x v="1"/>
    <x v="1"/>
    <n v="0"/>
    <n v="0"/>
    <n v="0"/>
    <n v="0"/>
    <n v="0"/>
    <n v="0"/>
    <n v="0"/>
    <n v="0"/>
    <m/>
    <n v="54.2"/>
  </r>
  <r>
    <s v="USR-100269"/>
    <d v="2025-01-06T00:00:00"/>
    <x v="0"/>
    <x v="2"/>
    <x v="1"/>
    <x v="3"/>
    <x v="1"/>
    <n v="0"/>
    <n v="0"/>
    <n v="0"/>
    <n v="0"/>
    <n v="0"/>
    <n v="0"/>
    <n v="0"/>
    <n v="0"/>
    <m/>
    <n v="50"/>
  </r>
  <r>
    <s v="USR-100270"/>
    <d v="2025-03-25T00:00:00"/>
    <x v="0"/>
    <x v="2"/>
    <x v="2"/>
    <x v="2"/>
    <x v="0"/>
    <n v="1"/>
    <n v="0"/>
    <n v="0"/>
    <n v="0"/>
    <n v="0"/>
    <n v="0"/>
    <n v="0"/>
    <n v="0"/>
    <m/>
    <n v="62"/>
  </r>
  <r>
    <s v="USR-100271"/>
    <d v="2025-02-13T00:00:00"/>
    <x v="0"/>
    <x v="2"/>
    <x v="0"/>
    <x v="3"/>
    <x v="1"/>
    <n v="1"/>
    <n v="0"/>
    <n v="0"/>
    <n v="0"/>
    <n v="0"/>
    <n v="0"/>
    <n v="0"/>
    <n v="0"/>
    <m/>
    <n v="29.3"/>
  </r>
  <r>
    <s v="USR-100272"/>
    <d v="2025-03-17T00:00:00"/>
    <x v="0"/>
    <x v="1"/>
    <x v="0"/>
    <x v="1"/>
    <x v="1"/>
    <n v="1"/>
    <n v="0"/>
    <n v="0"/>
    <n v="0"/>
    <n v="0"/>
    <n v="0"/>
    <n v="0"/>
    <n v="0"/>
    <m/>
    <n v="67.900000000000006"/>
  </r>
  <r>
    <s v="USR-100273"/>
    <d v="2025-05-10T00:00:00"/>
    <x v="0"/>
    <x v="0"/>
    <x v="1"/>
    <x v="3"/>
    <x v="1"/>
    <n v="1"/>
    <n v="1"/>
    <n v="1"/>
    <n v="0"/>
    <n v="0"/>
    <n v="0"/>
    <n v="0"/>
    <n v="0"/>
    <m/>
    <n v="67.599999999999994"/>
  </r>
  <r>
    <s v="USR-100274"/>
    <d v="2025-05-07T00:00:00"/>
    <x v="0"/>
    <x v="3"/>
    <x v="1"/>
    <x v="2"/>
    <x v="0"/>
    <n v="0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x v="2"/>
    <n v="0"/>
    <n v="0"/>
    <n v="0"/>
    <n v="0"/>
    <n v="0"/>
    <n v="2"/>
    <n v="1"/>
    <n v="0"/>
    <m/>
    <n v="53"/>
  </r>
  <r>
    <s v="USR-100276"/>
    <d v="2025-05-11T00:00:00"/>
    <x v="0"/>
    <x v="0"/>
    <x v="1"/>
    <x v="1"/>
    <x v="0"/>
    <n v="0"/>
    <n v="0"/>
    <n v="0"/>
    <n v="0"/>
    <n v="0"/>
    <n v="0"/>
    <n v="0"/>
    <n v="0"/>
    <m/>
    <n v="65.5"/>
  </r>
  <r>
    <s v="USR-100277"/>
    <d v="2025-03-20T00:00:00"/>
    <x v="0"/>
    <x v="3"/>
    <x v="1"/>
    <x v="1"/>
    <x v="0"/>
    <n v="1"/>
    <n v="1"/>
    <n v="0"/>
    <n v="0"/>
    <n v="0"/>
    <n v="0"/>
    <n v="0"/>
    <n v="0"/>
    <m/>
    <n v="49.6"/>
  </r>
  <r>
    <s v="USR-100278"/>
    <d v="2025-01-19T00:00:00"/>
    <x v="0"/>
    <x v="0"/>
    <x v="1"/>
    <x v="0"/>
    <x v="1"/>
    <n v="1"/>
    <n v="1"/>
    <n v="0"/>
    <n v="0"/>
    <n v="0"/>
    <n v="0"/>
    <n v="0"/>
    <n v="0"/>
    <m/>
    <n v="74.5"/>
  </r>
  <r>
    <s v="USR-100279"/>
    <d v="2025-03-08T00:00:00"/>
    <x v="0"/>
    <x v="0"/>
    <x v="2"/>
    <x v="2"/>
    <x v="2"/>
    <n v="1"/>
    <n v="0"/>
    <n v="0"/>
    <n v="0"/>
    <n v="0"/>
    <n v="1"/>
    <n v="1"/>
    <n v="0"/>
    <m/>
    <n v="46.9"/>
  </r>
  <r>
    <s v="USR-100280"/>
    <d v="2025-04-25T00:00:00"/>
    <x v="0"/>
    <x v="0"/>
    <x v="1"/>
    <x v="1"/>
    <x v="1"/>
    <n v="0"/>
    <n v="0"/>
    <n v="0"/>
    <n v="0"/>
    <n v="0"/>
    <n v="0"/>
    <n v="0"/>
    <n v="0"/>
    <m/>
    <n v="87.1"/>
  </r>
  <r>
    <s v="USR-100281"/>
    <d v="2025-04-04T00:00:00"/>
    <x v="0"/>
    <x v="0"/>
    <x v="0"/>
    <x v="1"/>
    <x v="1"/>
    <n v="1"/>
    <n v="0"/>
    <n v="0"/>
    <n v="0"/>
    <n v="0"/>
    <n v="0"/>
    <n v="0"/>
    <n v="0"/>
    <m/>
    <n v="56"/>
  </r>
  <r>
    <s v="USR-100282"/>
    <d v="2025-05-01T00:00:00"/>
    <x v="0"/>
    <x v="2"/>
    <x v="1"/>
    <x v="2"/>
    <x v="2"/>
    <n v="1"/>
    <n v="0"/>
    <n v="0"/>
    <n v="0"/>
    <n v="0"/>
    <n v="1"/>
    <n v="1"/>
    <n v="0"/>
    <m/>
    <n v="61.7"/>
  </r>
  <r>
    <s v="USR-100283"/>
    <d v="2025-01-21T00:00:00"/>
    <x v="0"/>
    <x v="3"/>
    <x v="1"/>
    <x v="4"/>
    <x v="1"/>
    <n v="1"/>
    <n v="0"/>
    <n v="0"/>
    <n v="0"/>
    <n v="0"/>
    <n v="1"/>
    <n v="1"/>
    <n v="0"/>
    <m/>
    <n v="70.5"/>
  </r>
  <r>
    <s v="USR-100284"/>
    <d v="2025-02-10T00:00:00"/>
    <x v="0"/>
    <x v="0"/>
    <x v="0"/>
    <x v="3"/>
    <x v="0"/>
    <n v="1"/>
    <n v="0"/>
    <n v="0"/>
    <n v="0"/>
    <n v="0"/>
    <n v="0"/>
    <n v="0"/>
    <n v="0"/>
    <m/>
    <n v="33.4"/>
  </r>
  <r>
    <s v="USR-100285"/>
    <d v="2025-05-06T00:00:00"/>
    <x v="0"/>
    <x v="3"/>
    <x v="0"/>
    <x v="1"/>
    <x v="1"/>
    <n v="1"/>
    <n v="0"/>
    <n v="0"/>
    <n v="0"/>
    <n v="0"/>
    <n v="0"/>
    <n v="0"/>
    <n v="0"/>
    <m/>
    <n v="57.5"/>
  </r>
  <r>
    <s v="USR-100286"/>
    <d v="2025-02-08T00:00:00"/>
    <x v="0"/>
    <x v="0"/>
    <x v="0"/>
    <x v="2"/>
    <x v="0"/>
    <n v="1"/>
    <n v="1"/>
    <n v="0"/>
    <n v="0"/>
    <n v="0"/>
    <n v="0"/>
    <n v="0"/>
    <n v="0"/>
    <m/>
    <n v="85.7"/>
  </r>
  <r>
    <s v="USR-100287"/>
    <d v="2025-05-31T00:00:00"/>
    <x v="0"/>
    <x v="2"/>
    <x v="1"/>
    <x v="4"/>
    <x v="1"/>
    <n v="1"/>
    <n v="0"/>
    <n v="0"/>
    <n v="0"/>
    <n v="0"/>
    <n v="0"/>
    <n v="0"/>
    <n v="0"/>
    <m/>
    <n v="41.9"/>
  </r>
  <r>
    <s v="USR-100288"/>
    <d v="2025-02-07T00:00:00"/>
    <x v="0"/>
    <x v="1"/>
    <x v="1"/>
    <x v="0"/>
    <x v="0"/>
    <n v="1"/>
    <n v="0"/>
    <n v="0"/>
    <n v="0"/>
    <n v="0"/>
    <n v="0"/>
    <n v="0"/>
    <n v="0"/>
    <m/>
    <n v="70.2"/>
  </r>
  <r>
    <s v="USR-100289"/>
    <d v="2025-02-10T00:00:00"/>
    <x v="0"/>
    <x v="0"/>
    <x v="1"/>
    <x v="4"/>
    <x v="1"/>
    <n v="1"/>
    <n v="0"/>
    <n v="0"/>
    <n v="0"/>
    <n v="0"/>
    <n v="0"/>
    <n v="0"/>
    <n v="0"/>
    <m/>
    <n v="42.6"/>
  </r>
  <r>
    <s v="USR-100290"/>
    <d v="2025-01-31T00:00:00"/>
    <x v="0"/>
    <x v="1"/>
    <x v="1"/>
    <x v="4"/>
    <x v="0"/>
    <n v="0"/>
    <n v="0"/>
    <n v="0"/>
    <n v="0"/>
    <n v="0"/>
    <n v="2"/>
    <n v="1"/>
    <n v="0"/>
    <m/>
    <n v="30.4"/>
  </r>
  <r>
    <s v="USR-100291"/>
    <d v="2025-03-16T00:00:00"/>
    <x v="0"/>
    <x v="2"/>
    <x v="1"/>
    <x v="2"/>
    <x v="0"/>
    <n v="1"/>
    <n v="0"/>
    <n v="0"/>
    <n v="0"/>
    <n v="0"/>
    <n v="0"/>
    <n v="0"/>
    <n v="0"/>
    <m/>
    <n v="63.7"/>
  </r>
  <r>
    <s v="USR-100292"/>
    <d v="2025-04-24T00:00:00"/>
    <x v="0"/>
    <x v="3"/>
    <x v="1"/>
    <x v="4"/>
    <x v="0"/>
    <n v="0"/>
    <n v="0"/>
    <n v="0"/>
    <n v="0"/>
    <n v="0"/>
    <n v="0"/>
    <n v="0"/>
    <n v="0"/>
    <m/>
    <n v="42.7"/>
  </r>
  <r>
    <s v="USR-100293"/>
    <d v="2025-01-28T00:00:00"/>
    <x v="0"/>
    <x v="0"/>
    <x v="1"/>
    <x v="1"/>
    <x v="1"/>
    <n v="0"/>
    <n v="0"/>
    <n v="0"/>
    <n v="0"/>
    <n v="0"/>
    <n v="0"/>
    <n v="0"/>
    <n v="0"/>
    <m/>
    <n v="74.3"/>
  </r>
  <r>
    <s v="USR-100294"/>
    <d v="2025-02-16T00:00:00"/>
    <x v="0"/>
    <x v="1"/>
    <x v="0"/>
    <x v="0"/>
    <x v="1"/>
    <n v="1"/>
    <n v="0"/>
    <n v="0"/>
    <n v="0"/>
    <n v="0"/>
    <n v="0"/>
    <n v="0"/>
    <n v="0"/>
    <m/>
    <n v="40.6"/>
  </r>
  <r>
    <s v="USR-100295"/>
    <d v="2025-03-23T00:00:00"/>
    <x v="0"/>
    <x v="2"/>
    <x v="1"/>
    <x v="1"/>
    <x v="2"/>
    <n v="0"/>
    <n v="0"/>
    <n v="0"/>
    <n v="0"/>
    <n v="0"/>
    <n v="0"/>
    <n v="0"/>
    <n v="0"/>
    <m/>
    <n v="67"/>
  </r>
  <r>
    <s v="USR-100296"/>
    <d v="2025-05-31T00:00:00"/>
    <x v="0"/>
    <x v="2"/>
    <x v="1"/>
    <x v="2"/>
    <x v="2"/>
    <n v="0"/>
    <n v="0"/>
    <n v="0"/>
    <n v="0"/>
    <n v="0"/>
    <n v="0"/>
    <n v="0"/>
    <n v="0"/>
    <m/>
    <n v="51"/>
  </r>
  <r>
    <s v="USR-100297"/>
    <d v="2025-04-13T00:00:00"/>
    <x v="0"/>
    <x v="1"/>
    <x v="1"/>
    <x v="4"/>
    <x v="0"/>
    <n v="1"/>
    <n v="1"/>
    <n v="0"/>
    <n v="0"/>
    <n v="0"/>
    <n v="1"/>
    <n v="1"/>
    <n v="0"/>
    <m/>
    <n v="54.8"/>
  </r>
  <r>
    <s v="USR-100298"/>
    <d v="2025-05-14T00:00:00"/>
    <x v="0"/>
    <x v="0"/>
    <x v="2"/>
    <x v="0"/>
    <x v="0"/>
    <n v="0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x v="1"/>
    <n v="0"/>
    <n v="0"/>
    <n v="0"/>
    <n v="0"/>
    <n v="0"/>
    <n v="0"/>
    <n v="0"/>
    <n v="0"/>
    <m/>
    <n v="48.8"/>
  </r>
  <r>
    <s v="USR-100300"/>
    <d v="2025-01-24T00:00:00"/>
    <x v="0"/>
    <x v="3"/>
    <x v="1"/>
    <x v="5"/>
    <x v="0"/>
    <n v="1"/>
    <n v="1"/>
    <n v="1"/>
    <n v="1"/>
    <n v="1198.69"/>
    <n v="1"/>
    <n v="1"/>
    <n v="0"/>
    <n v="6"/>
    <n v="88.9"/>
  </r>
  <r>
    <s v="USR-100301"/>
    <d v="2025-05-09T00:00:00"/>
    <x v="0"/>
    <x v="0"/>
    <x v="1"/>
    <x v="0"/>
    <x v="0"/>
    <n v="1"/>
    <n v="1"/>
    <n v="1"/>
    <n v="0"/>
    <n v="0"/>
    <n v="1"/>
    <n v="1"/>
    <n v="0"/>
    <m/>
    <n v="60.5"/>
  </r>
  <r>
    <s v="USR-100302"/>
    <d v="2025-02-11T00:00:00"/>
    <x v="0"/>
    <x v="0"/>
    <x v="1"/>
    <x v="1"/>
    <x v="0"/>
    <n v="1"/>
    <n v="0"/>
    <n v="0"/>
    <n v="0"/>
    <n v="0"/>
    <n v="0"/>
    <n v="0"/>
    <n v="0"/>
    <m/>
    <n v="63.6"/>
  </r>
  <r>
    <s v="USR-100303"/>
    <d v="2025-02-26T00:00:00"/>
    <x v="0"/>
    <x v="0"/>
    <x v="0"/>
    <x v="1"/>
    <x v="0"/>
    <n v="1"/>
    <n v="1"/>
    <n v="1"/>
    <n v="1"/>
    <n v="6788.95"/>
    <n v="0"/>
    <n v="0"/>
    <n v="0"/>
    <n v="17"/>
    <n v="58.4"/>
  </r>
  <r>
    <s v="USR-100304"/>
    <d v="2025-02-12T00:00:00"/>
    <x v="0"/>
    <x v="3"/>
    <x v="1"/>
    <x v="4"/>
    <x v="2"/>
    <n v="0"/>
    <n v="0"/>
    <n v="0"/>
    <n v="0"/>
    <n v="0"/>
    <n v="0"/>
    <n v="0"/>
    <n v="0"/>
    <m/>
    <n v="52.7"/>
  </r>
  <r>
    <s v="USR-100305"/>
    <d v="2025-01-05T00:00:00"/>
    <x v="0"/>
    <x v="3"/>
    <x v="2"/>
    <x v="4"/>
    <x v="2"/>
    <n v="1"/>
    <n v="1"/>
    <n v="1"/>
    <n v="0"/>
    <n v="0"/>
    <n v="2"/>
    <n v="1"/>
    <n v="0"/>
    <m/>
    <n v="48.9"/>
  </r>
  <r>
    <s v="USR-100306"/>
    <d v="2025-05-19T00:00:00"/>
    <x v="0"/>
    <x v="1"/>
    <x v="1"/>
    <x v="1"/>
    <x v="2"/>
    <n v="0"/>
    <n v="0"/>
    <n v="0"/>
    <n v="0"/>
    <n v="0"/>
    <n v="0"/>
    <n v="0"/>
    <n v="0"/>
    <m/>
    <n v="79.7"/>
  </r>
  <r>
    <s v="USR-100307"/>
    <d v="2025-02-02T00:00:00"/>
    <x v="0"/>
    <x v="0"/>
    <x v="1"/>
    <x v="4"/>
    <x v="1"/>
    <n v="1"/>
    <n v="0"/>
    <n v="0"/>
    <n v="0"/>
    <n v="0"/>
    <n v="0"/>
    <n v="0"/>
    <n v="0"/>
    <m/>
    <n v="44.9"/>
  </r>
  <r>
    <s v="USR-100308"/>
    <d v="2025-01-30T00:00:00"/>
    <x v="0"/>
    <x v="1"/>
    <x v="2"/>
    <x v="2"/>
    <x v="1"/>
    <n v="1"/>
    <n v="1"/>
    <n v="1"/>
    <n v="1"/>
    <n v="409.39"/>
    <n v="0"/>
    <n v="0"/>
    <n v="0"/>
    <n v="10"/>
    <n v="38.799999999999997"/>
  </r>
  <r>
    <s v="USR-100309"/>
    <d v="2025-05-01T00:00:00"/>
    <x v="0"/>
    <x v="3"/>
    <x v="0"/>
    <x v="0"/>
    <x v="1"/>
    <n v="0"/>
    <n v="0"/>
    <n v="0"/>
    <n v="0"/>
    <n v="0"/>
    <n v="0"/>
    <n v="0"/>
    <n v="0"/>
    <m/>
    <n v="70"/>
  </r>
  <r>
    <s v="USR-100310"/>
    <d v="2025-05-16T00:00:00"/>
    <x v="0"/>
    <x v="3"/>
    <x v="0"/>
    <x v="3"/>
    <x v="0"/>
    <n v="1"/>
    <n v="0"/>
    <n v="0"/>
    <n v="0"/>
    <n v="0"/>
    <n v="0"/>
    <n v="0"/>
    <n v="0"/>
    <m/>
    <n v="77.7"/>
  </r>
  <r>
    <s v="USR-100311"/>
    <d v="2025-03-08T00:00:00"/>
    <x v="0"/>
    <x v="1"/>
    <x v="1"/>
    <x v="1"/>
    <x v="1"/>
    <n v="0"/>
    <n v="0"/>
    <n v="0"/>
    <n v="0"/>
    <n v="0"/>
    <n v="0"/>
    <n v="0"/>
    <n v="0"/>
    <m/>
    <n v="71.2"/>
  </r>
  <r>
    <s v="USR-100312"/>
    <d v="2025-04-04T00:00:00"/>
    <x v="0"/>
    <x v="0"/>
    <x v="1"/>
    <x v="1"/>
    <x v="0"/>
    <n v="1"/>
    <n v="0"/>
    <n v="0"/>
    <n v="0"/>
    <n v="0"/>
    <n v="0"/>
    <n v="0"/>
    <n v="0"/>
    <m/>
    <n v="43.8"/>
  </r>
  <r>
    <s v="USR-100313"/>
    <d v="2025-05-30T00:00:00"/>
    <x v="0"/>
    <x v="3"/>
    <x v="2"/>
    <x v="1"/>
    <x v="1"/>
    <n v="1"/>
    <n v="0"/>
    <n v="0"/>
    <n v="0"/>
    <n v="0"/>
    <n v="0"/>
    <n v="0"/>
    <n v="0"/>
    <m/>
    <n v="50.9"/>
  </r>
  <r>
    <s v="USR-100314"/>
    <d v="2025-01-05T00:00:00"/>
    <x v="0"/>
    <x v="1"/>
    <x v="1"/>
    <x v="1"/>
    <x v="2"/>
    <n v="0"/>
    <n v="0"/>
    <n v="0"/>
    <n v="0"/>
    <n v="0"/>
    <n v="0"/>
    <n v="0"/>
    <n v="0"/>
    <m/>
    <n v="58.5"/>
  </r>
  <r>
    <s v="USR-100315"/>
    <d v="2025-01-20T00:00:00"/>
    <x v="0"/>
    <x v="2"/>
    <x v="1"/>
    <x v="1"/>
    <x v="1"/>
    <n v="1"/>
    <n v="1"/>
    <n v="1"/>
    <n v="0"/>
    <n v="0"/>
    <n v="0"/>
    <n v="0"/>
    <n v="0"/>
    <m/>
    <n v="53.6"/>
  </r>
  <r>
    <s v="USR-100316"/>
    <d v="2025-05-01T00:00:00"/>
    <x v="0"/>
    <x v="2"/>
    <x v="1"/>
    <x v="0"/>
    <x v="1"/>
    <n v="0"/>
    <n v="0"/>
    <n v="0"/>
    <n v="0"/>
    <n v="0"/>
    <n v="0"/>
    <n v="0"/>
    <n v="0"/>
    <m/>
    <n v="54.9"/>
  </r>
  <r>
    <s v="USR-100317"/>
    <d v="2025-03-05T00:00:00"/>
    <x v="0"/>
    <x v="0"/>
    <x v="0"/>
    <x v="1"/>
    <x v="2"/>
    <n v="0"/>
    <n v="0"/>
    <n v="0"/>
    <n v="0"/>
    <n v="0"/>
    <n v="0"/>
    <n v="0"/>
    <n v="0"/>
    <m/>
    <n v="57.3"/>
  </r>
  <r>
    <s v="USR-100318"/>
    <d v="2025-04-01T00:00:00"/>
    <x v="0"/>
    <x v="2"/>
    <x v="0"/>
    <x v="3"/>
    <x v="1"/>
    <n v="1"/>
    <n v="0"/>
    <n v="0"/>
    <n v="0"/>
    <n v="0"/>
    <n v="0"/>
    <n v="0"/>
    <n v="0"/>
    <m/>
    <n v="52.1"/>
  </r>
  <r>
    <s v="USR-100319"/>
    <d v="2025-05-03T00:00:00"/>
    <x v="0"/>
    <x v="0"/>
    <x v="1"/>
    <x v="1"/>
    <x v="1"/>
    <n v="1"/>
    <n v="0"/>
    <n v="0"/>
    <n v="0"/>
    <n v="0"/>
    <n v="0"/>
    <n v="0"/>
    <n v="0"/>
    <m/>
    <n v="80"/>
  </r>
  <r>
    <s v="USR-100320"/>
    <d v="2025-03-06T00:00:00"/>
    <x v="0"/>
    <x v="3"/>
    <x v="0"/>
    <x v="2"/>
    <x v="2"/>
    <n v="1"/>
    <n v="0"/>
    <n v="0"/>
    <n v="0"/>
    <n v="0"/>
    <n v="0"/>
    <n v="0"/>
    <n v="0"/>
    <m/>
    <n v="39.299999999999997"/>
  </r>
  <r>
    <s v="USR-100321"/>
    <d v="2025-04-01T00:00:00"/>
    <x v="0"/>
    <x v="0"/>
    <x v="0"/>
    <x v="3"/>
    <x v="2"/>
    <n v="0"/>
    <n v="0"/>
    <n v="0"/>
    <n v="0"/>
    <n v="0"/>
    <n v="0"/>
    <n v="0"/>
    <n v="0"/>
    <m/>
    <n v="45.7"/>
  </r>
  <r>
    <s v="USR-100322"/>
    <d v="2025-02-09T00:00:00"/>
    <x v="0"/>
    <x v="0"/>
    <x v="0"/>
    <x v="4"/>
    <x v="0"/>
    <n v="1"/>
    <n v="0"/>
    <n v="0"/>
    <n v="0"/>
    <n v="0"/>
    <n v="2"/>
    <n v="1"/>
    <n v="0"/>
    <m/>
    <n v="61.2"/>
  </r>
  <r>
    <s v="USR-100323"/>
    <d v="2025-04-12T00:00:00"/>
    <x v="0"/>
    <x v="1"/>
    <x v="1"/>
    <x v="1"/>
    <x v="0"/>
    <n v="1"/>
    <n v="1"/>
    <n v="0"/>
    <n v="0"/>
    <n v="0"/>
    <n v="0"/>
    <n v="0"/>
    <n v="0"/>
    <m/>
    <n v="66.2"/>
  </r>
  <r>
    <s v="USR-100324"/>
    <d v="2025-03-18T00:00:00"/>
    <x v="0"/>
    <x v="2"/>
    <x v="1"/>
    <x v="4"/>
    <x v="1"/>
    <n v="1"/>
    <n v="1"/>
    <n v="1"/>
    <n v="0"/>
    <n v="0"/>
    <n v="0"/>
    <n v="0"/>
    <n v="0"/>
    <m/>
    <n v="61.3"/>
  </r>
  <r>
    <s v="USR-100325"/>
    <d v="2025-04-03T00:00:00"/>
    <x v="0"/>
    <x v="2"/>
    <x v="1"/>
    <x v="2"/>
    <x v="1"/>
    <n v="1"/>
    <n v="0"/>
    <n v="0"/>
    <n v="0"/>
    <n v="0"/>
    <n v="0"/>
    <n v="0"/>
    <n v="0"/>
    <m/>
    <n v="72.2"/>
  </r>
  <r>
    <s v="USR-100326"/>
    <d v="2025-04-02T00:00:00"/>
    <x v="0"/>
    <x v="1"/>
    <x v="1"/>
    <x v="0"/>
    <x v="2"/>
    <n v="1"/>
    <n v="1"/>
    <n v="1"/>
    <n v="0"/>
    <n v="0"/>
    <n v="0"/>
    <n v="0"/>
    <n v="0"/>
    <m/>
    <n v="84"/>
  </r>
  <r>
    <s v="USR-100327"/>
    <d v="2025-05-10T00:00:00"/>
    <x v="0"/>
    <x v="1"/>
    <x v="0"/>
    <x v="0"/>
    <x v="0"/>
    <n v="0"/>
    <n v="0"/>
    <n v="0"/>
    <n v="0"/>
    <n v="0"/>
    <n v="0"/>
    <n v="0"/>
    <n v="0"/>
    <m/>
    <n v="59.8"/>
  </r>
  <r>
    <s v="USR-100328"/>
    <d v="2025-04-29T00:00:00"/>
    <x v="0"/>
    <x v="1"/>
    <x v="0"/>
    <x v="2"/>
    <x v="1"/>
    <n v="1"/>
    <n v="0"/>
    <n v="0"/>
    <n v="0"/>
    <n v="0"/>
    <n v="0"/>
    <n v="0"/>
    <n v="0"/>
    <m/>
    <n v="64.900000000000006"/>
  </r>
  <r>
    <s v="USR-100329"/>
    <d v="2025-02-27T00:00:00"/>
    <x v="0"/>
    <x v="3"/>
    <x v="1"/>
    <x v="2"/>
    <x v="1"/>
    <n v="1"/>
    <n v="0"/>
    <n v="0"/>
    <n v="0"/>
    <n v="0"/>
    <n v="0"/>
    <n v="0"/>
    <n v="0"/>
    <m/>
    <n v="66.8"/>
  </r>
  <r>
    <s v="USR-100330"/>
    <d v="2025-04-10T00:00:00"/>
    <x v="0"/>
    <x v="0"/>
    <x v="0"/>
    <x v="1"/>
    <x v="2"/>
    <n v="0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x v="1"/>
    <n v="1"/>
    <n v="1"/>
    <n v="1"/>
    <n v="1"/>
    <n v="426.82"/>
    <n v="1"/>
    <n v="1"/>
    <n v="0"/>
    <n v="14"/>
    <n v="68.8"/>
  </r>
  <r>
    <s v="USR-100332"/>
    <d v="2025-05-03T00:00:00"/>
    <x v="0"/>
    <x v="0"/>
    <x v="1"/>
    <x v="1"/>
    <x v="0"/>
    <n v="1"/>
    <n v="0"/>
    <n v="0"/>
    <n v="0"/>
    <n v="0"/>
    <n v="0"/>
    <n v="0"/>
    <n v="0"/>
    <m/>
    <n v="72.400000000000006"/>
  </r>
  <r>
    <s v="USR-100333"/>
    <d v="2025-03-10T00:00:00"/>
    <x v="0"/>
    <x v="2"/>
    <x v="1"/>
    <x v="1"/>
    <x v="0"/>
    <n v="0"/>
    <n v="0"/>
    <n v="0"/>
    <n v="0"/>
    <n v="0"/>
    <n v="0"/>
    <n v="0"/>
    <n v="0"/>
    <m/>
    <n v="63.3"/>
  </r>
  <r>
    <s v="USR-100334"/>
    <d v="2025-01-10T00:00:00"/>
    <x v="0"/>
    <x v="1"/>
    <x v="2"/>
    <x v="4"/>
    <x v="1"/>
    <n v="1"/>
    <n v="0"/>
    <n v="0"/>
    <n v="0"/>
    <n v="0"/>
    <n v="0"/>
    <n v="0"/>
    <n v="0"/>
    <m/>
    <n v="30.8"/>
  </r>
  <r>
    <s v="USR-100335"/>
    <d v="2025-01-16T00:00:00"/>
    <x v="0"/>
    <x v="3"/>
    <x v="1"/>
    <x v="0"/>
    <x v="0"/>
    <n v="1"/>
    <n v="1"/>
    <n v="1"/>
    <n v="1"/>
    <n v="874.55"/>
    <n v="0"/>
    <n v="0"/>
    <n v="0"/>
    <n v="9"/>
    <n v="44.2"/>
  </r>
  <r>
    <s v="USR-100336"/>
    <d v="2025-02-11T00:00:00"/>
    <x v="0"/>
    <x v="3"/>
    <x v="0"/>
    <x v="1"/>
    <x v="2"/>
    <n v="1"/>
    <n v="1"/>
    <n v="1"/>
    <n v="1"/>
    <n v="2206.88"/>
    <n v="0"/>
    <n v="0"/>
    <n v="0"/>
    <n v="10"/>
    <n v="56.2"/>
  </r>
  <r>
    <s v="USR-100337"/>
    <d v="2025-04-13T00:00:00"/>
    <x v="0"/>
    <x v="1"/>
    <x v="1"/>
    <x v="1"/>
    <x v="1"/>
    <n v="0"/>
    <n v="0"/>
    <n v="0"/>
    <n v="0"/>
    <n v="0"/>
    <n v="0"/>
    <n v="0"/>
    <n v="0"/>
    <m/>
    <n v="40.4"/>
  </r>
  <r>
    <s v="USR-100338"/>
    <d v="2025-02-08T00:00:00"/>
    <x v="0"/>
    <x v="2"/>
    <x v="1"/>
    <x v="2"/>
    <x v="1"/>
    <n v="1"/>
    <n v="1"/>
    <n v="1"/>
    <n v="0"/>
    <n v="0"/>
    <n v="0"/>
    <n v="0"/>
    <n v="0"/>
    <m/>
    <n v="68.099999999999994"/>
  </r>
  <r>
    <s v="USR-100339"/>
    <d v="2025-03-31T00:00:00"/>
    <x v="0"/>
    <x v="1"/>
    <x v="0"/>
    <x v="3"/>
    <x v="1"/>
    <n v="1"/>
    <n v="0"/>
    <n v="0"/>
    <n v="0"/>
    <n v="0"/>
    <n v="0"/>
    <n v="0"/>
    <n v="0"/>
    <m/>
    <n v="86.3"/>
  </r>
  <r>
    <s v="USR-100340"/>
    <d v="2025-01-31T00:00:00"/>
    <x v="0"/>
    <x v="1"/>
    <x v="0"/>
    <x v="3"/>
    <x v="1"/>
    <n v="1"/>
    <n v="1"/>
    <n v="0"/>
    <n v="0"/>
    <n v="0"/>
    <n v="0"/>
    <n v="0"/>
    <n v="0"/>
    <m/>
    <n v="42.9"/>
  </r>
  <r>
    <s v="USR-100341"/>
    <d v="2025-05-08T00:00:00"/>
    <x v="0"/>
    <x v="1"/>
    <x v="2"/>
    <x v="1"/>
    <x v="1"/>
    <n v="0"/>
    <n v="0"/>
    <n v="0"/>
    <n v="0"/>
    <n v="0"/>
    <n v="0"/>
    <n v="0"/>
    <n v="0"/>
    <m/>
    <n v="61.4"/>
  </r>
  <r>
    <s v="USR-100342"/>
    <d v="2025-03-15T00:00:00"/>
    <x v="0"/>
    <x v="0"/>
    <x v="1"/>
    <x v="2"/>
    <x v="1"/>
    <n v="1"/>
    <n v="0"/>
    <n v="0"/>
    <n v="0"/>
    <n v="0"/>
    <n v="1"/>
    <n v="1"/>
    <n v="0"/>
    <m/>
    <n v="73.3"/>
  </r>
  <r>
    <s v="USR-100343"/>
    <d v="2025-01-13T00:00:00"/>
    <x v="0"/>
    <x v="3"/>
    <x v="1"/>
    <x v="3"/>
    <x v="0"/>
    <n v="1"/>
    <n v="0"/>
    <n v="0"/>
    <n v="0"/>
    <n v="0"/>
    <n v="0"/>
    <n v="0"/>
    <n v="0"/>
    <m/>
    <n v="59.4"/>
  </r>
  <r>
    <s v="USR-100344"/>
    <d v="2025-03-07T00:00:00"/>
    <x v="0"/>
    <x v="3"/>
    <x v="2"/>
    <x v="1"/>
    <x v="0"/>
    <n v="1"/>
    <n v="0"/>
    <n v="0"/>
    <n v="0"/>
    <n v="0"/>
    <n v="0"/>
    <n v="0"/>
    <n v="0"/>
    <m/>
    <n v="35.200000000000003"/>
  </r>
  <r>
    <s v="USR-100345"/>
    <d v="2025-02-10T00:00:00"/>
    <x v="0"/>
    <x v="3"/>
    <x v="1"/>
    <x v="4"/>
    <x v="2"/>
    <n v="1"/>
    <n v="1"/>
    <n v="0"/>
    <n v="0"/>
    <n v="0"/>
    <n v="0"/>
    <n v="0"/>
    <n v="0"/>
    <m/>
    <n v="55.3"/>
  </r>
  <r>
    <s v="USR-100346"/>
    <d v="2025-03-12T00:00:00"/>
    <x v="0"/>
    <x v="2"/>
    <x v="1"/>
    <x v="2"/>
    <x v="1"/>
    <n v="0"/>
    <n v="0"/>
    <n v="0"/>
    <n v="0"/>
    <n v="0"/>
    <n v="0"/>
    <n v="0"/>
    <n v="0"/>
    <m/>
    <n v="37.5"/>
  </r>
  <r>
    <s v="USR-100347"/>
    <d v="2025-01-03T00:00:00"/>
    <x v="0"/>
    <x v="3"/>
    <x v="0"/>
    <x v="2"/>
    <x v="1"/>
    <n v="0"/>
    <n v="0"/>
    <n v="0"/>
    <n v="0"/>
    <n v="0"/>
    <n v="1"/>
    <n v="1"/>
    <n v="0"/>
    <m/>
    <n v="66.400000000000006"/>
  </r>
  <r>
    <s v="USR-100348"/>
    <d v="2025-04-28T00:00:00"/>
    <x v="0"/>
    <x v="0"/>
    <x v="2"/>
    <x v="4"/>
    <x v="0"/>
    <n v="1"/>
    <n v="0"/>
    <n v="0"/>
    <n v="0"/>
    <n v="0"/>
    <n v="0"/>
    <n v="0"/>
    <n v="0"/>
    <m/>
    <n v="61.9"/>
  </r>
  <r>
    <s v="USR-100349"/>
    <d v="2025-04-17T00:00:00"/>
    <x v="0"/>
    <x v="2"/>
    <x v="1"/>
    <x v="1"/>
    <x v="1"/>
    <n v="0"/>
    <n v="0"/>
    <n v="0"/>
    <n v="0"/>
    <n v="0"/>
    <n v="0"/>
    <n v="0"/>
    <n v="0"/>
    <m/>
    <n v="56"/>
  </r>
  <r>
    <s v="USR-100350"/>
    <d v="2025-05-23T00:00:00"/>
    <x v="0"/>
    <x v="3"/>
    <x v="0"/>
    <x v="4"/>
    <x v="0"/>
    <n v="1"/>
    <n v="0"/>
    <n v="0"/>
    <n v="0"/>
    <n v="0"/>
    <n v="0"/>
    <n v="0"/>
    <n v="0"/>
    <m/>
    <n v="55.5"/>
  </r>
  <r>
    <s v="USR-100351"/>
    <d v="2025-02-19T00:00:00"/>
    <x v="0"/>
    <x v="1"/>
    <x v="2"/>
    <x v="3"/>
    <x v="0"/>
    <n v="1"/>
    <n v="0"/>
    <n v="0"/>
    <n v="0"/>
    <n v="0"/>
    <n v="0"/>
    <n v="0"/>
    <n v="0"/>
    <m/>
    <n v="37.200000000000003"/>
  </r>
  <r>
    <s v="USR-100352"/>
    <d v="2025-01-18T00:00:00"/>
    <x v="0"/>
    <x v="3"/>
    <x v="0"/>
    <x v="1"/>
    <x v="1"/>
    <n v="1"/>
    <n v="1"/>
    <n v="0"/>
    <n v="0"/>
    <n v="0"/>
    <n v="1"/>
    <n v="1"/>
    <n v="0"/>
    <m/>
    <n v="70.5"/>
  </r>
  <r>
    <s v="USR-100353"/>
    <d v="2025-04-17T00:00:00"/>
    <x v="0"/>
    <x v="0"/>
    <x v="1"/>
    <x v="1"/>
    <x v="1"/>
    <n v="0"/>
    <n v="0"/>
    <n v="0"/>
    <n v="0"/>
    <n v="0"/>
    <n v="0"/>
    <n v="0"/>
    <n v="0"/>
    <m/>
    <n v="61.2"/>
  </r>
  <r>
    <s v="USR-100354"/>
    <d v="2025-04-12T00:00:00"/>
    <x v="0"/>
    <x v="2"/>
    <x v="2"/>
    <x v="4"/>
    <x v="1"/>
    <n v="1"/>
    <n v="1"/>
    <n v="1"/>
    <n v="0"/>
    <n v="0"/>
    <n v="0"/>
    <n v="0"/>
    <n v="0"/>
    <m/>
    <n v="64.599999999999994"/>
  </r>
  <r>
    <s v="USR-100355"/>
    <d v="2025-05-16T00:00:00"/>
    <x v="0"/>
    <x v="2"/>
    <x v="1"/>
    <x v="0"/>
    <x v="1"/>
    <n v="1"/>
    <n v="1"/>
    <n v="0"/>
    <n v="0"/>
    <n v="0"/>
    <n v="0"/>
    <n v="0"/>
    <n v="0"/>
    <m/>
    <n v="91.7"/>
  </r>
  <r>
    <s v="USR-100356"/>
    <d v="2025-03-24T00:00:00"/>
    <x v="0"/>
    <x v="1"/>
    <x v="1"/>
    <x v="4"/>
    <x v="1"/>
    <n v="0"/>
    <n v="0"/>
    <n v="0"/>
    <n v="0"/>
    <n v="0"/>
    <n v="0"/>
    <n v="0"/>
    <n v="0"/>
    <m/>
    <n v="46"/>
  </r>
  <r>
    <s v="USR-100357"/>
    <d v="2025-02-16T00:00:00"/>
    <x v="0"/>
    <x v="1"/>
    <x v="1"/>
    <x v="1"/>
    <x v="0"/>
    <n v="0"/>
    <n v="0"/>
    <n v="0"/>
    <n v="0"/>
    <n v="0"/>
    <n v="0"/>
    <n v="0"/>
    <n v="0"/>
    <m/>
    <n v="50.8"/>
  </r>
  <r>
    <s v="USR-100358"/>
    <d v="2025-03-19T00:00:00"/>
    <x v="0"/>
    <x v="0"/>
    <x v="2"/>
    <x v="1"/>
    <x v="1"/>
    <n v="1"/>
    <n v="1"/>
    <n v="1"/>
    <n v="0"/>
    <n v="0"/>
    <n v="0"/>
    <n v="0"/>
    <n v="0"/>
    <m/>
    <n v="52.8"/>
  </r>
  <r>
    <s v="USR-100359"/>
    <d v="2025-04-21T00:00:00"/>
    <x v="0"/>
    <x v="3"/>
    <x v="1"/>
    <x v="1"/>
    <x v="0"/>
    <n v="1"/>
    <n v="1"/>
    <n v="1"/>
    <n v="0"/>
    <n v="0"/>
    <n v="0"/>
    <n v="0"/>
    <n v="0"/>
    <m/>
    <n v="63"/>
  </r>
  <r>
    <s v="USR-100360"/>
    <d v="2025-01-11T00:00:00"/>
    <x v="0"/>
    <x v="1"/>
    <x v="1"/>
    <x v="1"/>
    <x v="1"/>
    <n v="0"/>
    <n v="0"/>
    <n v="0"/>
    <n v="0"/>
    <n v="0"/>
    <n v="0"/>
    <n v="0"/>
    <n v="0"/>
    <m/>
    <n v="28.4"/>
  </r>
  <r>
    <s v="USR-100361"/>
    <d v="2025-04-24T00:00:00"/>
    <x v="0"/>
    <x v="1"/>
    <x v="0"/>
    <x v="1"/>
    <x v="1"/>
    <n v="1"/>
    <n v="1"/>
    <n v="0"/>
    <n v="0"/>
    <n v="0"/>
    <n v="0"/>
    <n v="0"/>
    <n v="0"/>
    <m/>
    <n v="65.599999999999994"/>
  </r>
  <r>
    <s v="USR-100362"/>
    <d v="2025-03-13T00:00:00"/>
    <x v="0"/>
    <x v="0"/>
    <x v="1"/>
    <x v="4"/>
    <x v="2"/>
    <n v="1"/>
    <n v="1"/>
    <n v="1"/>
    <n v="0"/>
    <n v="0"/>
    <n v="0"/>
    <n v="0"/>
    <n v="0"/>
    <m/>
    <n v="54.7"/>
  </r>
  <r>
    <s v="USR-100363"/>
    <d v="2025-01-30T00:00:00"/>
    <x v="0"/>
    <x v="0"/>
    <x v="1"/>
    <x v="4"/>
    <x v="0"/>
    <n v="0"/>
    <n v="0"/>
    <n v="0"/>
    <n v="0"/>
    <n v="0"/>
    <n v="0"/>
    <n v="0"/>
    <n v="0"/>
    <m/>
    <n v="36.1"/>
  </r>
  <r>
    <s v="USR-100364"/>
    <d v="2025-05-08T00:00:00"/>
    <x v="0"/>
    <x v="3"/>
    <x v="1"/>
    <x v="4"/>
    <x v="0"/>
    <n v="1"/>
    <n v="1"/>
    <n v="1"/>
    <n v="0"/>
    <n v="0"/>
    <n v="0"/>
    <n v="0"/>
    <n v="0"/>
    <m/>
    <n v="70.400000000000006"/>
  </r>
  <r>
    <s v="USR-100365"/>
    <d v="2025-01-08T00:00:00"/>
    <x v="0"/>
    <x v="2"/>
    <x v="0"/>
    <x v="4"/>
    <x v="1"/>
    <n v="1"/>
    <n v="0"/>
    <n v="0"/>
    <n v="0"/>
    <n v="0"/>
    <n v="0"/>
    <n v="0"/>
    <n v="0"/>
    <m/>
    <n v="56.4"/>
  </r>
  <r>
    <s v="USR-100366"/>
    <d v="2025-05-03T00:00:00"/>
    <x v="0"/>
    <x v="3"/>
    <x v="1"/>
    <x v="1"/>
    <x v="1"/>
    <n v="1"/>
    <n v="0"/>
    <n v="0"/>
    <n v="0"/>
    <n v="0"/>
    <n v="0"/>
    <n v="0"/>
    <n v="0"/>
    <m/>
    <n v="79.2"/>
  </r>
  <r>
    <s v="USR-100367"/>
    <d v="2025-02-12T00:00:00"/>
    <x v="0"/>
    <x v="2"/>
    <x v="1"/>
    <x v="2"/>
    <x v="1"/>
    <n v="1"/>
    <n v="1"/>
    <n v="1"/>
    <n v="0"/>
    <n v="0"/>
    <n v="0"/>
    <n v="0"/>
    <n v="0"/>
    <m/>
    <n v="60.1"/>
  </r>
  <r>
    <s v="USR-100368"/>
    <d v="2025-02-25T00:00:00"/>
    <x v="0"/>
    <x v="3"/>
    <x v="2"/>
    <x v="1"/>
    <x v="1"/>
    <n v="0"/>
    <n v="0"/>
    <n v="0"/>
    <n v="0"/>
    <n v="0"/>
    <n v="0"/>
    <n v="0"/>
    <n v="0"/>
    <m/>
    <n v="58"/>
  </r>
  <r>
    <s v="USR-100369"/>
    <d v="2025-04-14T00:00:00"/>
    <x v="0"/>
    <x v="3"/>
    <x v="1"/>
    <x v="3"/>
    <x v="1"/>
    <n v="1"/>
    <n v="1"/>
    <n v="1"/>
    <n v="0"/>
    <n v="0"/>
    <n v="0"/>
    <n v="0"/>
    <n v="0"/>
    <m/>
    <n v="69"/>
  </r>
  <r>
    <s v="USR-100370"/>
    <d v="2025-01-08T00:00:00"/>
    <x v="0"/>
    <x v="0"/>
    <x v="1"/>
    <x v="3"/>
    <x v="2"/>
    <n v="1"/>
    <n v="1"/>
    <n v="1"/>
    <n v="0"/>
    <n v="0"/>
    <n v="1"/>
    <n v="1"/>
    <n v="0"/>
    <m/>
    <n v="80.8"/>
  </r>
  <r>
    <s v="USR-100371"/>
    <d v="2025-03-14T00:00:00"/>
    <x v="0"/>
    <x v="2"/>
    <x v="1"/>
    <x v="0"/>
    <x v="1"/>
    <n v="0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x v="2"/>
    <n v="1"/>
    <n v="0"/>
    <n v="0"/>
    <n v="0"/>
    <n v="0"/>
    <n v="0"/>
    <n v="0"/>
    <n v="0"/>
    <m/>
    <n v="56"/>
  </r>
  <r>
    <s v="USR-100373"/>
    <d v="2025-05-01T00:00:00"/>
    <x v="0"/>
    <x v="2"/>
    <x v="0"/>
    <x v="4"/>
    <x v="1"/>
    <n v="1"/>
    <n v="0"/>
    <n v="0"/>
    <n v="0"/>
    <n v="0"/>
    <n v="0"/>
    <n v="0"/>
    <n v="0"/>
    <m/>
    <n v="76.400000000000006"/>
  </r>
  <r>
    <s v="USR-100374"/>
    <d v="2025-03-19T00:00:00"/>
    <x v="0"/>
    <x v="0"/>
    <x v="1"/>
    <x v="3"/>
    <x v="1"/>
    <n v="1"/>
    <n v="0"/>
    <n v="0"/>
    <n v="0"/>
    <n v="0"/>
    <n v="0"/>
    <n v="0"/>
    <n v="0"/>
    <m/>
    <n v="28.5"/>
  </r>
  <r>
    <s v="USR-100375"/>
    <d v="2025-05-01T00:00:00"/>
    <x v="0"/>
    <x v="3"/>
    <x v="0"/>
    <x v="4"/>
    <x v="0"/>
    <n v="1"/>
    <n v="1"/>
    <n v="1"/>
    <n v="0"/>
    <n v="0"/>
    <n v="0"/>
    <n v="0"/>
    <n v="0"/>
    <m/>
    <n v="48.3"/>
  </r>
  <r>
    <s v="USR-100376"/>
    <d v="2025-03-14T00:00:00"/>
    <x v="0"/>
    <x v="1"/>
    <x v="1"/>
    <x v="1"/>
    <x v="1"/>
    <n v="1"/>
    <n v="1"/>
    <n v="0"/>
    <n v="0"/>
    <n v="0"/>
    <n v="0"/>
    <n v="0"/>
    <n v="0"/>
    <m/>
    <n v="43.4"/>
  </r>
  <r>
    <s v="USR-100377"/>
    <d v="2025-03-23T00:00:00"/>
    <x v="0"/>
    <x v="0"/>
    <x v="1"/>
    <x v="2"/>
    <x v="1"/>
    <n v="0"/>
    <n v="0"/>
    <n v="0"/>
    <n v="0"/>
    <n v="0"/>
    <n v="0"/>
    <n v="0"/>
    <n v="0"/>
    <m/>
    <n v="43"/>
  </r>
  <r>
    <s v="USR-100378"/>
    <d v="2025-02-08T00:00:00"/>
    <x v="0"/>
    <x v="2"/>
    <x v="1"/>
    <x v="3"/>
    <x v="0"/>
    <n v="1"/>
    <n v="1"/>
    <n v="1"/>
    <n v="0"/>
    <n v="0"/>
    <n v="0"/>
    <n v="0"/>
    <n v="0"/>
    <m/>
    <n v="91.8"/>
  </r>
  <r>
    <s v="USR-100379"/>
    <d v="2025-04-15T00:00:00"/>
    <x v="0"/>
    <x v="1"/>
    <x v="2"/>
    <x v="2"/>
    <x v="0"/>
    <n v="1"/>
    <n v="0"/>
    <n v="0"/>
    <n v="0"/>
    <n v="0"/>
    <n v="1"/>
    <n v="1"/>
    <n v="0"/>
    <m/>
    <n v="69.3"/>
  </r>
  <r>
    <s v="USR-100380"/>
    <d v="2025-01-03T00:00:00"/>
    <x v="0"/>
    <x v="3"/>
    <x v="0"/>
    <x v="2"/>
    <x v="0"/>
    <n v="1"/>
    <n v="0"/>
    <n v="0"/>
    <n v="0"/>
    <n v="0"/>
    <n v="0"/>
    <n v="0"/>
    <n v="0"/>
    <m/>
    <n v="58.9"/>
  </r>
  <r>
    <s v="USR-100381"/>
    <d v="2025-03-23T00:00:00"/>
    <x v="0"/>
    <x v="1"/>
    <x v="1"/>
    <x v="4"/>
    <x v="1"/>
    <n v="1"/>
    <n v="1"/>
    <n v="1"/>
    <n v="0"/>
    <n v="0"/>
    <n v="0"/>
    <n v="0"/>
    <n v="0"/>
    <m/>
    <n v="76"/>
  </r>
  <r>
    <s v="USR-100382"/>
    <d v="2025-05-27T00:00:00"/>
    <x v="0"/>
    <x v="3"/>
    <x v="1"/>
    <x v="3"/>
    <x v="2"/>
    <n v="1"/>
    <n v="0"/>
    <n v="0"/>
    <n v="0"/>
    <n v="0"/>
    <n v="0"/>
    <n v="0"/>
    <n v="0"/>
    <m/>
    <n v="46"/>
  </r>
  <r>
    <s v="USR-100383"/>
    <d v="2025-04-30T00:00:00"/>
    <x v="0"/>
    <x v="2"/>
    <x v="1"/>
    <x v="1"/>
    <x v="1"/>
    <n v="1"/>
    <n v="0"/>
    <n v="0"/>
    <n v="0"/>
    <n v="0"/>
    <n v="0"/>
    <n v="0"/>
    <n v="0"/>
    <m/>
    <n v="54.1"/>
  </r>
  <r>
    <s v="USR-100384"/>
    <d v="2025-03-07T00:00:00"/>
    <x v="0"/>
    <x v="1"/>
    <x v="1"/>
    <x v="4"/>
    <x v="0"/>
    <n v="1"/>
    <n v="0"/>
    <n v="0"/>
    <n v="0"/>
    <n v="0"/>
    <n v="0"/>
    <n v="0"/>
    <n v="0"/>
    <m/>
    <n v="82.4"/>
  </r>
  <r>
    <s v="USR-100385"/>
    <d v="2025-05-10T00:00:00"/>
    <x v="0"/>
    <x v="3"/>
    <x v="1"/>
    <x v="1"/>
    <x v="0"/>
    <n v="1"/>
    <n v="1"/>
    <n v="1"/>
    <n v="0"/>
    <n v="0"/>
    <n v="0"/>
    <n v="0"/>
    <n v="0"/>
    <m/>
    <n v="71.900000000000006"/>
  </r>
  <r>
    <s v="USR-100386"/>
    <d v="2025-05-22T00:00:00"/>
    <x v="0"/>
    <x v="2"/>
    <x v="1"/>
    <x v="1"/>
    <x v="1"/>
    <n v="0"/>
    <n v="0"/>
    <n v="0"/>
    <n v="0"/>
    <n v="0"/>
    <n v="2"/>
    <n v="1"/>
    <n v="0"/>
    <m/>
    <n v="38"/>
  </r>
  <r>
    <s v="USR-100387"/>
    <d v="2025-02-09T00:00:00"/>
    <x v="0"/>
    <x v="2"/>
    <x v="1"/>
    <x v="2"/>
    <x v="1"/>
    <n v="1"/>
    <n v="1"/>
    <n v="0"/>
    <n v="0"/>
    <n v="0"/>
    <n v="0"/>
    <n v="0"/>
    <n v="0"/>
    <m/>
    <n v="43.7"/>
  </r>
  <r>
    <s v="USR-100388"/>
    <d v="2025-05-30T00:00:00"/>
    <x v="0"/>
    <x v="1"/>
    <x v="0"/>
    <x v="1"/>
    <x v="2"/>
    <n v="1"/>
    <n v="0"/>
    <n v="0"/>
    <n v="0"/>
    <n v="0"/>
    <n v="1"/>
    <n v="1"/>
    <n v="0"/>
    <m/>
    <n v="32.200000000000003"/>
  </r>
  <r>
    <s v="USR-100389"/>
    <d v="2025-05-01T00:00:00"/>
    <x v="0"/>
    <x v="3"/>
    <x v="1"/>
    <x v="1"/>
    <x v="2"/>
    <n v="1"/>
    <n v="0"/>
    <n v="0"/>
    <n v="0"/>
    <n v="0"/>
    <n v="0"/>
    <n v="0"/>
    <n v="0"/>
    <m/>
    <n v="61"/>
  </r>
  <r>
    <s v="USR-100390"/>
    <d v="2025-01-03T00:00:00"/>
    <x v="0"/>
    <x v="3"/>
    <x v="1"/>
    <x v="2"/>
    <x v="1"/>
    <n v="1"/>
    <n v="0"/>
    <n v="0"/>
    <n v="0"/>
    <n v="0"/>
    <n v="0"/>
    <n v="0"/>
    <n v="0"/>
    <m/>
    <n v="49"/>
  </r>
  <r>
    <s v="USR-100391"/>
    <d v="2025-02-13T00:00:00"/>
    <x v="0"/>
    <x v="2"/>
    <x v="1"/>
    <x v="1"/>
    <x v="1"/>
    <n v="0"/>
    <n v="0"/>
    <n v="0"/>
    <n v="0"/>
    <n v="0"/>
    <n v="0"/>
    <n v="0"/>
    <n v="0"/>
    <m/>
    <n v="48.1"/>
  </r>
  <r>
    <s v="USR-100392"/>
    <d v="2025-01-14T00:00:00"/>
    <x v="0"/>
    <x v="3"/>
    <x v="0"/>
    <x v="1"/>
    <x v="1"/>
    <n v="0"/>
    <n v="0"/>
    <n v="0"/>
    <n v="0"/>
    <n v="0"/>
    <n v="2"/>
    <n v="1"/>
    <n v="0"/>
    <m/>
    <n v="46.3"/>
  </r>
  <r>
    <s v="USR-100393"/>
    <d v="2025-02-24T00:00:00"/>
    <x v="0"/>
    <x v="0"/>
    <x v="1"/>
    <x v="3"/>
    <x v="1"/>
    <n v="0"/>
    <n v="0"/>
    <n v="0"/>
    <n v="0"/>
    <n v="0"/>
    <n v="0"/>
    <n v="0"/>
    <n v="0"/>
    <m/>
    <n v="64"/>
  </r>
  <r>
    <s v="USR-100394"/>
    <d v="2025-05-16T00:00:00"/>
    <x v="0"/>
    <x v="1"/>
    <x v="0"/>
    <x v="1"/>
    <x v="0"/>
    <n v="1"/>
    <n v="1"/>
    <n v="0"/>
    <n v="0"/>
    <n v="0"/>
    <n v="0"/>
    <n v="0"/>
    <n v="0"/>
    <m/>
    <n v="56.2"/>
  </r>
  <r>
    <s v="USR-100395"/>
    <d v="2025-04-29T00:00:00"/>
    <x v="0"/>
    <x v="0"/>
    <x v="1"/>
    <x v="2"/>
    <x v="1"/>
    <n v="1"/>
    <n v="1"/>
    <n v="1"/>
    <n v="0"/>
    <n v="0"/>
    <n v="0"/>
    <n v="0"/>
    <n v="0"/>
    <m/>
    <n v="77.5"/>
  </r>
  <r>
    <s v="USR-100396"/>
    <d v="2025-04-30T00:00:00"/>
    <x v="0"/>
    <x v="3"/>
    <x v="0"/>
    <x v="0"/>
    <x v="0"/>
    <n v="1"/>
    <n v="0"/>
    <n v="0"/>
    <n v="0"/>
    <n v="0"/>
    <n v="0"/>
    <n v="0"/>
    <n v="0"/>
    <m/>
    <n v="59.9"/>
  </r>
  <r>
    <s v="USR-100397"/>
    <d v="2025-01-09T00:00:00"/>
    <x v="0"/>
    <x v="3"/>
    <x v="0"/>
    <x v="1"/>
    <x v="1"/>
    <n v="1"/>
    <n v="1"/>
    <n v="0"/>
    <n v="0"/>
    <n v="0"/>
    <n v="0"/>
    <n v="0"/>
    <n v="0"/>
    <m/>
    <n v="63"/>
  </r>
  <r>
    <s v="USR-100398"/>
    <d v="2025-04-25T00:00:00"/>
    <x v="0"/>
    <x v="3"/>
    <x v="1"/>
    <x v="1"/>
    <x v="1"/>
    <n v="1"/>
    <n v="1"/>
    <n v="0"/>
    <n v="0"/>
    <n v="0"/>
    <n v="0"/>
    <n v="0"/>
    <n v="0"/>
    <m/>
    <n v="76.5"/>
  </r>
  <r>
    <s v="USR-100399"/>
    <d v="2025-03-12T00:00:00"/>
    <x v="0"/>
    <x v="0"/>
    <x v="0"/>
    <x v="2"/>
    <x v="1"/>
    <n v="1"/>
    <n v="0"/>
    <n v="0"/>
    <n v="0"/>
    <n v="0"/>
    <n v="0"/>
    <n v="0"/>
    <n v="0"/>
    <m/>
    <n v="39.700000000000003"/>
  </r>
  <r>
    <s v="USR-100400"/>
    <d v="2025-03-20T00:00:00"/>
    <x v="0"/>
    <x v="0"/>
    <x v="1"/>
    <x v="1"/>
    <x v="1"/>
    <n v="1"/>
    <n v="1"/>
    <n v="0"/>
    <n v="0"/>
    <n v="0"/>
    <n v="0"/>
    <n v="0"/>
    <n v="0"/>
    <m/>
    <n v="80.2"/>
  </r>
  <r>
    <s v="USR-100401"/>
    <d v="2025-02-18T00:00:00"/>
    <x v="0"/>
    <x v="1"/>
    <x v="1"/>
    <x v="2"/>
    <x v="1"/>
    <n v="1"/>
    <n v="0"/>
    <n v="0"/>
    <n v="0"/>
    <n v="0"/>
    <n v="0"/>
    <n v="0"/>
    <n v="0"/>
    <m/>
    <n v="72.2"/>
  </r>
  <r>
    <s v="USR-100402"/>
    <d v="2025-01-22T00:00:00"/>
    <x v="0"/>
    <x v="0"/>
    <x v="1"/>
    <x v="4"/>
    <x v="0"/>
    <n v="0"/>
    <n v="0"/>
    <n v="0"/>
    <n v="0"/>
    <n v="0"/>
    <n v="0"/>
    <n v="0"/>
    <n v="0"/>
    <m/>
    <n v="56"/>
  </r>
  <r>
    <s v="USR-100403"/>
    <d v="2025-02-08T00:00:00"/>
    <x v="0"/>
    <x v="1"/>
    <x v="1"/>
    <x v="0"/>
    <x v="0"/>
    <n v="1"/>
    <n v="1"/>
    <n v="1"/>
    <n v="0"/>
    <n v="0"/>
    <n v="0"/>
    <n v="0"/>
    <n v="0"/>
    <m/>
    <n v="69.099999999999994"/>
  </r>
  <r>
    <s v="USR-100404"/>
    <d v="2025-01-20T00:00:00"/>
    <x v="0"/>
    <x v="0"/>
    <x v="1"/>
    <x v="0"/>
    <x v="2"/>
    <n v="0"/>
    <n v="0"/>
    <n v="0"/>
    <n v="0"/>
    <n v="0"/>
    <n v="1"/>
    <n v="1"/>
    <n v="0"/>
    <m/>
    <n v="70.599999999999994"/>
  </r>
  <r>
    <s v="USR-100405"/>
    <d v="2025-04-22T00:00:00"/>
    <x v="0"/>
    <x v="1"/>
    <x v="0"/>
    <x v="3"/>
    <x v="1"/>
    <n v="1"/>
    <n v="0"/>
    <n v="0"/>
    <n v="0"/>
    <n v="0"/>
    <n v="0"/>
    <n v="0"/>
    <n v="0"/>
    <m/>
    <n v="57.9"/>
  </r>
  <r>
    <s v="USR-100406"/>
    <d v="2025-01-22T00:00:00"/>
    <x v="0"/>
    <x v="2"/>
    <x v="1"/>
    <x v="1"/>
    <x v="0"/>
    <n v="1"/>
    <n v="1"/>
    <n v="0"/>
    <n v="0"/>
    <n v="0"/>
    <n v="0"/>
    <n v="0"/>
    <n v="0"/>
    <m/>
    <n v="41.4"/>
  </r>
  <r>
    <s v="USR-100407"/>
    <d v="2025-05-11T00:00:00"/>
    <x v="0"/>
    <x v="1"/>
    <x v="1"/>
    <x v="1"/>
    <x v="0"/>
    <n v="1"/>
    <n v="0"/>
    <n v="0"/>
    <n v="0"/>
    <n v="0"/>
    <n v="0"/>
    <n v="0"/>
    <n v="0"/>
    <m/>
    <n v="60.9"/>
  </r>
  <r>
    <s v="USR-100408"/>
    <d v="2025-02-06T00:00:00"/>
    <x v="0"/>
    <x v="3"/>
    <x v="1"/>
    <x v="1"/>
    <x v="0"/>
    <n v="0"/>
    <n v="0"/>
    <n v="0"/>
    <n v="0"/>
    <n v="0"/>
    <n v="1"/>
    <n v="1"/>
    <n v="0"/>
    <m/>
    <n v="63.8"/>
  </r>
  <r>
    <s v="USR-100409"/>
    <d v="2025-02-21T00:00:00"/>
    <x v="0"/>
    <x v="0"/>
    <x v="0"/>
    <x v="1"/>
    <x v="2"/>
    <n v="1"/>
    <n v="0"/>
    <n v="0"/>
    <n v="0"/>
    <n v="0"/>
    <n v="0"/>
    <n v="0"/>
    <n v="0"/>
    <m/>
    <n v="79.2"/>
  </r>
  <r>
    <s v="USR-100410"/>
    <d v="2025-01-13T00:00:00"/>
    <x v="0"/>
    <x v="1"/>
    <x v="1"/>
    <x v="0"/>
    <x v="2"/>
    <n v="1"/>
    <n v="1"/>
    <n v="1"/>
    <n v="0"/>
    <n v="0"/>
    <n v="0"/>
    <n v="0"/>
    <n v="0"/>
    <m/>
    <n v="53.3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0"/>
    <n v="6"/>
    <n v="52.3"/>
  </r>
  <r>
    <s v="USR-100412"/>
    <d v="2025-02-26T00:00:00"/>
    <x v="0"/>
    <x v="1"/>
    <x v="0"/>
    <x v="1"/>
    <x v="0"/>
    <n v="1"/>
    <n v="1"/>
    <n v="0"/>
    <n v="0"/>
    <n v="0"/>
    <n v="0"/>
    <n v="0"/>
    <n v="0"/>
    <m/>
    <n v="62.4"/>
  </r>
  <r>
    <s v="USR-100413"/>
    <d v="2025-05-05T00:00:00"/>
    <x v="0"/>
    <x v="0"/>
    <x v="1"/>
    <x v="3"/>
    <x v="2"/>
    <n v="1"/>
    <n v="0"/>
    <n v="0"/>
    <n v="0"/>
    <n v="0"/>
    <n v="0"/>
    <n v="0"/>
    <n v="0"/>
    <m/>
    <n v="45.5"/>
  </r>
  <r>
    <s v="USR-100414"/>
    <d v="2025-01-08T00:00:00"/>
    <x v="0"/>
    <x v="2"/>
    <x v="0"/>
    <x v="1"/>
    <x v="0"/>
    <n v="0"/>
    <n v="0"/>
    <n v="0"/>
    <n v="0"/>
    <n v="0"/>
    <n v="1"/>
    <n v="1"/>
    <n v="0"/>
    <m/>
    <n v="72.599999999999994"/>
  </r>
  <r>
    <s v="USR-100415"/>
    <d v="2025-03-19T00:00:00"/>
    <x v="0"/>
    <x v="3"/>
    <x v="1"/>
    <x v="0"/>
    <x v="2"/>
    <n v="1"/>
    <n v="1"/>
    <n v="1"/>
    <n v="0"/>
    <n v="0"/>
    <n v="0"/>
    <n v="0"/>
    <n v="0"/>
    <m/>
    <n v="50.1"/>
  </r>
  <r>
    <s v="USR-100416"/>
    <d v="2025-01-30T00:00:00"/>
    <x v="0"/>
    <x v="2"/>
    <x v="0"/>
    <x v="2"/>
    <x v="1"/>
    <n v="1"/>
    <n v="1"/>
    <n v="1"/>
    <n v="0"/>
    <n v="0"/>
    <n v="2"/>
    <n v="1"/>
    <n v="0"/>
    <m/>
    <n v="58.1"/>
  </r>
  <r>
    <s v="USR-100417"/>
    <d v="2025-04-28T00:00:00"/>
    <x v="0"/>
    <x v="2"/>
    <x v="1"/>
    <x v="1"/>
    <x v="0"/>
    <n v="1"/>
    <n v="0"/>
    <n v="0"/>
    <n v="0"/>
    <n v="0"/>
    <n v="0"/>
    <n v="0"/>
    <n v="0"/>
    <m/>
    <n v="42.9"/>
  </r>
  <r>
    <s v="USR-100418"/>
    <d v="2025-03-07T00:00:00"/>
    <x v="0"/>
    <x v="0"/>
    <x v="1"/>
    <x v="3"/>
    <x v="0"/>
    <n v="0"/>
    <n v="0"/>
    <n v="0"/>
    <n v="0"/>
    <n v="0"/>
    <n v="0"/>
    <n v="0"/>
    <n v="0"/>
    <m/>
    <n v="69.7"/>
  </r>
  <r>
    <s v="USR-100419"/>
    <d v="2025-04-07T00:00:00"/>
    <x v="0"/>
    <x v="0"/>
    <x v="0"/>
    <x v="1"/>
    <x v="1"/>
    <n v="0"/>
    <n v="0"/>
    <n v="0"/>
    <n v="0"/>
    <n v="0"/>
    <n v="0"/>
    <n v="0"/>
    <n v="0"/>
    <m/>
    <n v="63.3"/>
  </r>
  <r>
    <s v="USR-100420"/>
    <d v="2025-05-08T00:00:00"/>
    <x v="0"/>
    <x v="0"/>
    <x v="0"/>
    <x v="1"/>
    <x v="2"/>
    <n v="1"/>
    <n v="0"/>
    <n v="0"/>
    <n v="0"/>
    <n v="0"/>
    <n v="0"/>
    <n v="0"/>
    <n v="0"/>
    <m/>
    <n v="71.2"/>
  </r>
  <r>
    <s v="USR-100421"/>
    <d v="2025-04-15T00:00:00"/>
    <x v="0"/>
    <x v="3"/>
    <x v="1"/>
    <x v="0"/>
    <x v="1"/>
    <n v="1"/>
    <n v="0"/>
    <n v="0"/>
    <n v="0"/>
    <n v="0"/>
    <n v="0"/>
    <n v="0"/>
    <n v="0"/>
    <m/>
    <n v="39.1"/>
  </r>
  <r>
    <s v="USR-100422"/>
    <d v="2025-04-20T00:00:00"/>
    <x v="0"/>
    <x v="2"/>
    <x v="0"/>
    <x v="4"/>
    <x v="1"/>
    <n v="1"/>
    <n v="0"/>
    <n v="0"/>
    <n v="0"/>
    <n v="0"/>
    <n v="0"/>
    <n v="0"/>
    <n v="0"/>
    <m/>
    <n v="42.6"/>
  </r>
  <r>
    <s v="USR-100423"/>
    <d v="2025-05-30T00:00:00"/>
    <x v="0"/>
    <x v="3"/>
    <x v="2"/>
    <x v="1"/>
    <x v="1"/>
    <n v="0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x v="1"/>
    <n v="0"/>
    <n v="0"/>
    <n v="0"/>
    <n v="0"/>
    <n v="0"/>
    <n v="0"/>
    <n v="0"/>
    <n v="0"/>
    <m/>
    <n v="55.6"/>
  </r>
  <r>
    <s v="USR-100425"/>
    <d v="2025-04-28T00:00:00"/>
    <x v="0"/>
    <x v="1"/>
    <x v="1"/>
    <x v="4"/>
    <x v="1"/>
    <n v="1"/>
    <n v="0"/>
    <n v="0"/>
    <n v="0"/>
    <n v="0"/>
    <n v="0"/>
    <n v="0"/>
    <n v="0"/>
    <m/>
    <n v="35.799999999999997"/>
  </r>
  <r>
    <s v="USR-100426"/>
    <d v="2025-02-12T00:00:00"/>
    <x v="0"/>
    <x v="0"/>
    <x v="1"/>
    <x v="2"/>
    <x v="0"/>
    <n v="1"/>
    <n v="0"/>
    <n v="0"/>
    <n v="0"/>
    <n v="0"/>
    <n v="1"/>
    <n v="1"/>
    <n v="0"/>
    <m/>
    <n v="28.2"/>
  </r>
  <r>
    <s v="USR-100427"/>
    <d v="2025-02-12T00:00:00"/>
    <x v="0"/>
    <x v="2"/>
    <x v="1"/>
    <x v="1"/>
    <x v="1"/>
    <n v="0"/>
    <n v="0"/>
    <n v="0"/>
    <n v="0"/>
    <n v="0"/>
    <n v="2"/>
    <n v="1"/>
    <n v="0"/>
    <m/>
    <n v="44.4"/>
  </r>
  <r>
    <s v="USR-100428"/>
    <d v="2025-03-27T00:00:00"/>
    <x v="0"/>
    <x v="0"/>
    <x v="1"/>
    <x v="0"/>
    <x v="2"/>
    <n v="1"/>
    <n v="0"/>
    <n v="0"/>
    <n v="0"/>
    <n v="0"/>
    <n v="0"/>
    <n v="0"/>
    <n v="0"/>
    <m/>
    <n v="49.9"/>
  </r>
  <r>
    <s v="USR-100429"/>
    <d v="2025-04-12T00:00:00"/>
    <x v="0"/>
    <x v="3"/>
    <x v="0"/>
    <x v="1"/>
    <x v="1"/>
    <n v="0"/>
    <n v="0"/>
    <n v="0"/>
    <n v="0"/>
    <n v="0"/>
    <n v="0"/>
    <n v="0"/>
    <n v="0"/>
    <m/>
    <n v="40.4"/>
  </r>
  <r>
    <s v="USR-100430"/>
    <d v="2025-01-30T00:00:00"/>
    <x v="0"/>
    <x v="1"/>
    <x v="1"/>
    <x v="4"/>
    <x v="1"/>
    <n v="0"/>
    <n v="0"/>
    <n v="0"/>
    <n v="0"/>
    <n v="0"/>
    <n v="0"/>
    <n v="0"/>
    <n v="0"/>
    <m/>
    <n v="60.4"/>
  </r>
  <r>
    <s v="USR-100431"/>
    <d v="2025-05-28T00:00:00"/>
    <x v="0"/>
    <x v="1"/>
    <x v="1"/>
    <x v="4"/>
    <x v="2"/>
    <n v="0"/>
    <n v="0"/>
    <n v="0"/>
    <n v="0"/>
    <n v="0"/>
    <n v="1"/>
    <n v="1"/>
    <n v="0"/>
    <m/>
    <n v="52.4"/>
  </r>
  <r>
    <s v="USR-100432"/>
    <d v="2025-05-01T00:00:00"/>
    <x v="0"/>
    <x v="3"/>
    <x v="1"/>
    <x v="1"/>
    <x v="0"/>
    <n v="1"/>
    <n v="1"/>
    <n v="0"/>
    <n v="0"/>
    <n v="0"/>
    <n v="0"/>
    <n v="0"/>
    <n v="0"/>
    <m/>
    <n v="48.8"/>
  </r>
  <r>
    <s v="USR-100433"/>
    <d v="2025-02-03T00:00:00"/>
    <x v="0"/>
    <x v="0"/>
    <x v="2"/>
    <x v="0"/>
    <x v="0"/>
    <n v="1"/>
    <n v="0"/>
    <n v="0"/>
    <n v="0"/>
    <n v="0"/>
    <n v="0"/>
    <n v="0"/>
    <n v="0"/>
    <m/>
    <n v="60.9"/>
  </r>
  <r>
    <s v="USR-100434"/>
    <d v="2025-01-10T00:00:00"/>
    <x v="0"/>
    <x v="3"/>
    <x v="0"/>
    <x v="4"/>
    <x v="0"/>
    <n v="0"/>
    <n v="0"/>
    <n v="0"/>
    <n v="0"/>
    <n v="0"/>
    <n v="0"/>
    <n v="0"/>
    <n v="0"/>
    <m/>
    <n v="68.2"/>
  </r>
  <r>
    <s v="USR-100435"/>
    <d v="2025-05-02T00:00:00"/>
    <x v="0"/>
    <x v="0"/>
    <x v="0"/>
    <x v="1"/>
    <x v="0"/>
    <n v="1"/>
    <n v="0"/>
    <n v="0"/>
    <n v="0"/>
    <n v="0"/>
    <n v="0"/>
    <n v="0"/>
    <n v="0"/>
    <m/>
    <n v="65.599999999999994"/>
  </r>
  <r>
    <s v="USR-100436"/>
    <d v="2025-05-26T00:00:00"/>
    <x v="0"/>
    <x v="0"/>
    <x v="0"/>
    <x v="1"/>
    <x v="0"/>
    <n v="1"/>
    <n v="0"/>
    <n v="0"/>
    <n v="0"/>
    <n v="0"/>
    <n v="0"/>
    <n v="0"/>
    <n v="0"/>
    <m/>
    <n v="65.400000000000006"/>
  </r>
  <r>
    <s v="USR-100437"/>
    <d v="2025-01-12T00:00:00"/>
    <x v="0"/>
    <x v="1"/>
    <x v="1"/>
    <x v="1"/>
    <x v="0"/>
    <n v="1"/>
    <n v="0"/>
    <n v="0"/>
    <n v="0"/>
    <n v="0"/>
    <n v="0"/>
    <n v="0"/>
    <n v="0"/>
    <m/>
    <n v="78.900000000000006"/>
  </r>
  <r>
    <s v="USR-100438"/>
    <d v="2025-05-27T00:00:00"/>
    <x v="0"/>
    <x v="2"/>
    <x v="1"/>
    <x v="2"/>
    <x v="0"/>
    <n v="1"/>
    <n v="1"/>
    <n v="1"/>
    <n v="0"/>
    <n v="0"/>
    <n v="0"/>
    <n v="0"/>
    <n v="0"/>
    <m/>
    <n v="78.3"/>
  </r>
  <r>
    <s v="USR-100439"/>
    <d v="2025-05-22T00:00:00"/>
    <x v="0"/>
    <x v="1"/>
    <x v="0"/>
    <x v="0"/>
    <x v="0"/>
    <n v="0"/>
    <n v="0"/>
    <n v="0"/>
    <n v="0"/>
    <n v="0"/>
    <n v="0"/>
    <n v="0"/>
    <n v="0"/>
    <m/>
    <n v="49.2"/>
  </r>
  <r>
    <s v="USR-100440"/>
    <d v="2025-04-01T00:00:00"/>
    <x v="0"/>
    <x v="2"/>
    <x v="1"/>
    <x v="4"/>
    <x v="2"/>
    <n v="1"/>
    <n v="1"/>
    <n v="1"/>
    <n v="1"/>
    <n v="1518.83"/>
    <n v="0"/>
    <n v="0"/>
    <n v="0"/>
    <n v="9"/>
    <n v="32.200000000000003"/>
  </r>
  <r>
    <s v="USR-100441"/>
    <d v="2025-01-22T00:00:00"/>
    <x v="0"/>
    <x v="0"/>
    <x v="1"/>
    <x v="2"/>
    <x v="0"/>
    <n v="1"/>
    <n v="1"/>
    <n v="1"/>
    <n v="0"/>
    <n v="0"/>
    <n v="0"/>
    <n v="0"/>
    <n v="0"/>
    <m/>
    <n v="46.3"/>
  </r>
  <r>
    <s v="USR-100442"/>
    <d v="2025-05-24T00:00:00"/>
    <x v="0"/>
    <x v="2"/>
    <x v="1"/>
    <x v="2"/>
    <x v="0"/>
    <n v="1"/>
    <n v="0"/>
    <n v="0"/>
    <n v="0"/>
    <n v="0"/>
    <n v="0"/>
    <n v="0"/>
    <n v="0"/>
    <m/>
    <n v="55.7"/>
  </r>
  <r>
    <s v="USR-100443"/>
    <d v="2025-04-25T00:00:00"/>
    <x v="0"/>
    <x v="3"/>
    <x v="1"/>
    <x v="4"/>
    <x v="1"/>
    <n v="1"/>
    <n v="0"/>
    <n v="0"/>
    <n v="0"/>
    <n v="0"/>
    <n v="0"/>
    <n v="0"/>
    <n v="0"/>
    <m/>
    <n v="44.5"/>
  </r>
  <r>
    <s v="USR-100444"/>
    <d v="2025-04-12T00:00:00"/>
    <x v="0"/>
    <x v="1"/>
    <x v="0"/>
    <x v="3"/>
    <x v="1"/>
    <n v="1"/>
    <n v="1"/>
    <n v="1"/>
    <n v="0"/>
    <n v="0"/>
    <n v="1"/>
    <n v="1"/>
    <n v="0"/>
    <m/>
    <n v="47.9"/>
  </r>
  <r>
    <s v="USR-100445"/>
    <d v="2025-04-23T00:00:00"/>
    <x v="0"/>
    <x v="3"/>
    <x v="1"/>
    <x v="1"/>
    <x v="2"/>
    <n v="1"/>
    <n v="0"/>
    <n v="0"/>
    <n v="0"/>
    <n v="0"/>
    <n v="0"/>
    <n v="0"/>
    <n v="0"/>
    <m/>
    <n v="43.9"/>
  </r>
  <r>
    <s v="USR-100446"/>
    <d v="2025-03-30T00:00:00"/>
    <x v="0"/>
    <x v="0"/>
    <x v="0"/>
    <x v="3"/>
    <x v="1"/>
    <n v="1"/>
    <n v="1"/>
    <n v="1"/>
    <n v="0"/>
    <n v="0"/>
    <n v="1"/>
    <n v="1"/>
    <n v="0"/>
    <m/>
    <n v="67.7"/>
  </r>
  <r>
    <s v="USR-100447"/>
    <d v="2025-01-18T00:00:00"/>
    <x v="0"/>
    <x v="2"/>
    <x v="1"/>
    <x v="3"/>
    <x v="0"/>
    <n v="0"/>
    <n v="0"/>
    <n v="0"/>
    <n v="0"/>
    <n v="0"/>
    <n v="0"/>
    <n v="0"/>
    <n v="0"/>
    <m/>
    <n v="43.7"/>
  </r>
  <r>
    <s v="USR-100448"/>
    <d v="2025-04-09T00:00:00"/>
    <x v="0"/>
    <x v="2"/>
    <x v="1"/>
    <x v="1"/>
    <x v="1"/>
    <n v="1"/>
    <n v="0"/>
    <n v="0"/>
    <n v="0"/>
    <n v="0"/>
    <n v="0"/>
    <n v="0"/>
    <n v="0"/>
    <m/>
    <n v="68.8"/>
  </r>
  <r>
    <s v="USR-100449"/>
    <d v="2025-01-11T00:00:00"/>
    <x v="0"/>
    <x v="1"/>
    <x v="1"/>
    <x v="1"/>
    <x v="1"/>
    <n v="1"/>
    <n v="1"/>
    <n v="1"/>
    <n v="0"/>
    <n v="0"/>
    <n v="0"/>
    <n v="0"/>
    <n v="0"/>
    <m/>
    <n v="59.2"/>
  </r>
  <r>
    <s v="USR-100450"/>
    <d v="2025-03-05T00:00:00"/>
    <x v="0"/>
    <x v="2"/>
    <x v="1"/>
    <x v="2"/>
    <x v="1"/>
    <n v="1"/>
    <n v="0"/>
    <n v="0"/>
    <n v="0"/>
    <n v="0"/>
    <n v="0"/>
    <n v="0"/>
    <n v="0"/>
    <m/>
    <n v="48.6"/>
  </r>
  <r>
    <s v="USR-100451"/>
    <d v="2025-02-17T00:00:00"/>
    <x v="0"/>
    <x v="0"/>
    <x v="2"/>
    <x v="4"/>
    <x v="1"/>
    <n v="1"/>
    <n v="1"/>
    <n v="1"/>
    <n v="0"/>
    <n v="0"/>
    <n v="0"/>
    <n v="0"/>
    <n v="0"/>
    <m/>
    <n v="56.9"/>
  </r>
  <r>
    <s v="USR-100452"/>
    <d v="2025-05-07T00:00:00"/>
    <x v="0"/>
    <x v="0"/>
    <x v="0"/>
    <x v="2"/>
    <x v="1"/>
    <n v="0"/>
    <n v="0"/>
    <n v="0"/>
    <n v="0"/>
    <n v="0"/>
    <n v="0"/>
    <n v="0"/>
    <n v="0"/>
    <m/>
    <n v="55.8"/>
  </r>
  <r>
    <s v="USR-100453"/>
    <d v="2025-04-10T00:00:00"/>
    <x v="0"/>
    <x v="2"/>
    <x v="1"/>
    <x v="2"/>
    <x v="2"/>
    <n v="0"/>
    <n v="0"/>
    <n v="0"/>
    <n v="0"/>
    <n v="0"/>
    <n v="0"/>
    <n v="0"/>
    <n v="0"/>
    <m/>
    <n v="63.3"/>
  </r>
  <r>
    <s v="USR-100454"/>
    <d v="2025-04-21T00:00:00"/>
    <x v="0"/>
    <x v="0"/>
    <x v="1"/>
    <x v="4"/>
    <x v="1"/>
    <n v="1"/>
    <n v="0"/>
    <n v="0"/>
    <n v="0"/>
    <n v="0"/>
    <n v="0"/>
    <n v="0"/>
    <n v="0"/>
    <m/>
    <n v="52.2"/>
  </r>
  <r>
    <s v="USR-100455"/>
    <d v="2025-02-25T00:00:00"/>
    <x v="0"/>
    <x v="3"/>
    <x v="2"/>
    <x v="5"/>
    <x v="1"/>
    <n v="0"/>
    <n v="0"/>
    <n v="0"/>
    <n v="0"/>
    <n v="0"/>
    <n v="0"/>
    <n v="0"/>
    <n v="0"/>
    <m/>
    <n v="51.5"/>
  </r>
  <r>
    <s v="USR-100456"/>
    <d v="2025-05-14T00:00:00"/>
    <x v="0"/>
    <x v="2"/>
    <x v="0"/>
    <x v="1"/>
    <x v="1"/>
    <n v="0"/>
    <n v="0"/>
    <n v="0"/>
    <n v="0"/>
    <n v="0"/>
    <n v="0"/>
    <n v="0"/>
    <n v="0"/>
    <m/>
    <n v="50.3"/>
  </r>
  <r>
    <s v="USR-100457"/>
    <d v="2025-03-10T00:00:00"/>
    <x v="0"/>
    <x v="0"/>
    <x v="1"/>
    <x v="0"/>
    <x v="0"/>
    <n v="1"/>
    <n v="0"/>
    <n v="0"/>
    <n v="0"/>
    <n v="0"/>
    <n v="1"/>
    <n v="1"/>
    <n v="0"/>
    <m/>
    <n v="35.4"/>
  </r>
  <r>
    <s v="USR-100458"/>
    <d v="2025-01-31T00:00:00"/>
    <x v="0"/>
    <x v="1"/>
    <x v="0"/>
    <x v="1"/>
    <x v="2"/>
    <n v="1"/>
    <n v="0"/>
    <n v="0"/>
    <n v="0"/>
    <n v="0"/>
    <n v="1"/>
    <n v="1"/>
    <n v="0"/>
    <m/>
    <n v="54.1"/>
  </r>
  <r>
    <s v="USR-100459"/>
    <d v="2025-01-17T00:00:00"/>
    <x v="0"/>
    <x v="3"/>
    <x v="1"/>
    <x v="1"/>
    <x v="2"/>
    <n v="1"/>
    <n v="0"/>
    <n v="0"/>
    <n v="0"/>
    <n v="0"/>
    <n v="0"/>
    <n v="0"/>
    <n v="0"/>
    <m/>
    <n v="56.2"/>
  </r>
  <r>
    <s v="USR-100460"/>
    <d v="2025-03-12T00:00:00"/>
    <x v="0"/>
    <x v="3"/>
    <x v="1"/>
    <x v="2"/>
    <x v="1"/>
    <n v="0"/>
    <n v="0"/>
    <n v="0"/>
    <n v="0"/>
    <n v="0"/>
    <n v="3"/>
    <n v="1"/>
    <n v="0"/>
    <m/>
    <n v="43.7"/>
  </r>
  <r>
    <s v="USR-100461"/>
    <d v="2025-02-28T00:00:00"/>
    <x v="0"/>
    <x v="1"/>
    <x v="0"/>
    <x v="1"/>
    <x v="2"/>
    <n v="1"/>
    <n v="1"/>
    <n v="0"/>
    <n v="0"/>
    <n v="0"/>
    <n v="0"/>
    <n v="0"/>
    <n v="0"/>
    <m/>
    <n v="51.3"/>
  </r>
  <r>
    <s v="USR-100462"/>
    <d v="2025-05-19T00:00:00"/>
    <x v="0"/>
    <x v="0"/>
    <x v="3"/>
    <x v="1"/>
    <x v="0"/>
    <n v="1"/>
    <n v="0"/>
    <n v="0"/>
    <n v="0"/>
    <n v="0"/>
    <n v="0"/>
    <n v="0"/>
    <n v="0"/>
    <m/>
    <n v="50.5"/>
  </r>
  <r>
    <s v="USR-100463"/>
    <d v="2025-02-23T00:00:00"/>
    <x v="0"/>
    <x v="0"/>
    <x v="1"/>
    <x v="3"/>
    <x v="0"/>
    <n v="1"/>
    <n v="0"/>
    <n v="0"/>
    <n v="0"/>
    <n v="0"/>
    <n v="0"/>
    <n v="0"/>
    <n v="0"/>
    <m/>
    <n v="57.3"/>
  </r>
  <r>
    <s v="USR-100464"/>
    <d v="2025-02-20T00:00:00"/>
    <x v="0"/>
    <x v="1"/>
    <x v="0"/>
    <x v="1"/>
    <x v="1"/>
    <n v="1"/>
    <n v="1"/>
    <n v="1"/>
    <n v="0"/>
    <n v="0"/>
    <n v="0"/>
    <n v="0"/>
    <n v="0"/>
    <m/>
    <n v="58.4"/>
  </r>
  <r>
    <s v="USR-100465"/>
    <d v="2025-04-12T00:00:00"/>
    <x v="0"/>
    <x v="0"/>
    <x v="1"/>
    <x v="5"/>
    <x v="1"/>
    <n v="0"/>
    <n v="0"/>
    <n v="0"/>
    <n v="0"/>
    <n v="0"/>
    <n v="0"/>
    <n v="0"/>
    <n v="0"/>
    <m/>
    <n v="56.5"/>
  </r>
  <r>
    <s v="USR-100466"/>
    <d v="2025-01-08T00:00:00"/>
    <x v="0"/>
    <x v="1"/>
    <x v="1"/>
    <x v="0"/>
    <x v="1"/>
    <n v="0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x v="0"/>
    <n v="0"/>
    <n v="0"/>
    <n v="0"/>
    <n v="0"/>
    <n v="0"/>
    <n v="0"/>
    <n v="0"/>
    <n v="0"/>
    <m/>
    <n v="6.2"/>
  </r>
  <r>
    <s v="USR-100468"/>
    <d v="2025-05-21T00:00:00"/>
    <x v="0"/>
    <x v="2"/>
    <x v="0"/>
    <x v="0"/>
    <x v="1"/>
    <n v="1"/>
    <n v="1"/>
    <n v="1"/>
    <n v="0"/>
    <n v="0"/>
    <n v="0"/>
    <n v="0"/>
    <n v="0"/>
    <m/>
    <n v="54.3"/>
  </r>
  <r>
    <s v="USR-100469"/>
    <d v="2025-05-30T00:00:00"/>
    <x v="0"/>
    <x v="0"/>
    <x v="1"/>
    <x v="1"/>
    <x v="0"/>
    <n v="0"/>
    <n v="0"/>
    <n v="0"/>
    <n v="0"/>
    <n v="0"/>
    <n v="0"/>
    <n v="0"/>
    <n v="0"/>
    <m/>
    <n v="59.8"/>
  </r>
  <r>
    <s v="USR-100470"/>
    <d v="2025-05-20T00:00:00"/>
    <x v="0"/>
    <x v="1"/>
    <x v="1"/>
    <x v="2"/>
    <x v="1"/>
    <n v="0"/>
    <n v="0"/>
    <n v="0"/>
    <n v="0"/>
    <n v="0"/>
    <n v="0"/>
    <n v="0"/>
    <n v="0"/>
    <m/>
    <n v="58.9"/>
  </r>
  <r>
    <s v="USR-100471"/>
    <d v="2025-01-09T00:00:00"/>
    <x v="0"/>
    <x v="2"/>
    <x v="0"/>
    <x v="1"/>
    <x v="1"/>
    <n v="0"/>
    <n v="0"/>
    <n v="0"/>
    <n v="0"/>
    <n v="0"/>
    <n v="1"/>
    <n v="1"/>
    <n v="0"/>
    <m/>
    <n v="52.9"/>
  </r>
  <r>
    <s v="USR-100472"/>
    <d v="2025-03-07T00:00:00"/>
    <x v="0"/>
    <x v="1"/>
    <x v="1"/>
    <x v="1"/>
    <x v="1"/>
    <n v="0"/>
    <n v="0"/>
    <n v="0"/>
    <n v="0"/>
    <n v="0"/>
    <n v="0"/>
    <n v="0"/>
    <n v="0"/>
    <m/>
    <n v="67.8"/>
  </r>
  <r>
    <s v="USR-100473"/>
    <d v="2025-04-23T00:00:00"/>
    <x v="0"/>
    <x v="3"/>
    <x v="1"/>
    <x v="4"/>
    <x v="1"/>
    <n v="0"/>
    <n v="0"/>
    <n v="0"/>
    <n v="0"/>
    <n v="0"/>
    <n v="0"/>
    <n v="0"/>
    <n v="0"/>
    <m/>
    <n v="48.7"/>
  </r>
  <r>
    <s v="USR-100474"/>
    <d v="2025-03-08T00:00:00"/>
    <x v="0"/>
    <x v="2"/>
    <x v="1"/>
    <x v="1"/>
    <x v="0"/>
    <n v="0"/>
    <n v="0"/>
    <n v="0"/>
    <n v="0"/>
    <n v="0"/>
    <n v="0"/>
    <n v="0"/>
    <n v="0"/>
    <m/>
    <n v="59"/>
  </r>
  <r>
    <s v="USR-100475"/>
    <d v="2025-02-14T00:00:00"/>
    <x v="0"/>
    <x v="3"/>
    <x v="1"/>
    <x v="3"/>
    <x v="1"/>
    <n v="0"/>
    <n v="0"/>
    <n v="0"/>
    <n v="0"/>
    <n v="0"/>
    <n v="0"/>
    <n v="0"/>
    <n v="0"/>
    <m/>
    <n v="63.2"/>
  </r>
  <r>
    <s v="USR-100476"/>
    <d v="2025-05-17T00:00:00"/>
    <x v="0"/>
    <x v="1"/>
    <x v="1"/>
    <x v="3"/>
    <x v="0"/>
    <n v="1"/>
    <n v="0"/>
    <n v="0"/>
    <n v="0"/>
    <n v="0"/>
    <n v="0"/>
    <n v="0"/>
    <n v="0"/>
    <m/>
    <n v="68.7"/>
  </r>
  <r>
    <s v="USR-100477"/>
    <d v="2025-04-25T00:00:00"/>
    <x v="0"/>
    <x v="3"/>
    <x v="1"/>
    <x v="3"/>
    <x v="1"/>
    <n v="0"/>
    <n v="0"/>
    <n v="0"/>
    <n v="0"/>
    <n v="0"/>
    <n v="0"/>
    <n v="0"/>
    <n v="0"/>
    <m/>
    <n v="52.1"/>
  </r>
  <r>
    <s v="USR-100478"/>
    <d v="2025-03-04T00:00:00"/>
    <x v="0"/>
    <x v="3"/>
    <x v="0"/>
    <x v="4"/>
    <x v="0"/>
    <n v="0"/>
    <n v="0"/>
    <n v="0"/>
    <n v="0"/>
    <n v="0"/>
    <n v="0"/>
    <n v="0"/>
    <n v="0"/>
    <m/>
    <n v="56.5"/>
  </r>
  <r>
    <s v="USR-100479"/>
    <d v="2025-03-18T00:00:00"/>
    <x v="0"/>
    <x v="3"/>
    <x v="1"/>
    <x v="1"/>
    <x v="1"/>
    <n v="1"/>
    <n v="0"/>
    <n v="0"/>
    <n v="0"/>
    <n v="0"/>
    <n v="0"/>
    <n v="0"/>
    <n v="0"/>
    <m/>
    <n v="64.400000000000006"/>
  </r>
  <r>
    <s v="USR-100480"/>
    <d v="2025-01-30T00:00:00"/>
    <x v="0"/>
    <x v="1"/>
    <x v="1"/>
    <x v="2"/>
    <x v="2"/>
    <n v="1"/>
    <n v="0"/>
    <n v="0"/>
    <n v="0"/>
    <n v="0"/>
    <n v="0"/>
    <n v="0"/>
    <n v="0"/>
    <m/>
    <n v="65.900000000000006"/>
  </r>
  <r>
    <s v="USR-100481"/>
    <d v="2025-05-20T00:00:00"/>
    <x v="0"/>
    <x v="1"/>
    <x v="2"/>
    <x v="3"/>
    <x v="1"/>
    <n v="1"/>
    <n v="1"/>
    <n v="1"/>
    <n v="0"/>
    <n v="0"/>
    <n v="0"/>
    <n v="0"/>
    <n v="0"/>
    <m/>
    <n v="100"/>
  </r>
  <r>
    <s v="USR-100482"/>
    <d v="2025-02-13T00:00:00"/>
    <x v="0"/>
    <x v="0"/>
    <x v="3"/>
    <x v="1"/>
    <x v="0"/>
    <n v="1"/>
    <n v="1"/>
    <n v="1"/>
    <n v="0"/>
    <n v="0"/>
    <n v="0"/>
    <n v="0"/>
    <n v="0"/>
    <m/>
    <n v="50.4"/>
  </r>
  <r>
    <s v="USR-100483"/>
    <d v="2025-04-12T00:00:00"/>
    <x v="0"/>
    <x v="1"/>
    <x v="0"/>
    <x v="1"/>
    <x v="0"/>
    <n v="0"/>
    <n v="0"/>
    <n v="0"/>
    <n v="0"/>
    <n v="0"/>
    <n v="0"/>
    <n v="0"/>
    <n v="0"/>
    <m/>
    <n v="41.5"/>
  </r>
  <r>
    <s v="USR-100484"/>
    <d v="2025-04-07T00:00:00"/>
    <x v="0"/>
    <x v="0"/>
    <x v="1"/>
    <x v="0"/>
    <x v="1"/>
    <n v="0"/>
    <n v="0"/>
    <n v="0"/>
    <n v="0"/>
    <n v="0"/>
    <n v="0"/>
    <n v="0"/>
    <n v="0"/>
    <m/>
    <n v="86.2"/>
  </r>
  <r>
    <s v="USR-100485"/>
    <d v="2025-03-12T00:00:00"/>
    <x v="0"/>
    <x v="0"/>
    <x v="0"/>
    <x v="4"/>
    <x v="1"/>
    <n v="1"/>
    <n v="1"/>
    <n v="1"/>
    <n v="0"/>
    <n v="0"/>
    <n v="2"/>
    <n v="1"/>
    <n v="0"/>
    <m/>
    <n v="50.8"/>
  </r>
  <r>
    <s v="USR-100486"/>
    <d v="2025-02-07T00:00:00"/>
    <x v="0"/>
    <x v="1"/>
    <x v="1"/>
    <x v="1"/>
    <x v="1"/>
    <n v="1"/>
    <n v="0"/>
    <n v="0"/>
    <n v="0"/>
    <n v="0"/>
    <n v="0"/>
    <n v="0"/>
    <n v="0"/>
    <m/>
    <n v="50.9"/>
  </r>
  <r>
    <s v="USR-100487"/>
    <d v="2025-05-05T00:00:00"/>
    <x v="0"/>
    <x v="0"/>
    <x v="1"/>
    <x v="1"/>
    <x v="2"/>
    <n v="1"/>
    <n v="1"/>
    <n v="0"/>
    <n v="0"/>
    <n v="0"/>
    <n v="0"/>
    <n v="0"/>
    <n v="0"/>
    <m/>
    <n v="87.5"/>
  </r>
  <r>
    <s v="USR-100488"/>
    <d v="2025-03-18T00:00:00"/>
    <x v="0"/>
    <x v="3"/>
    <x v="1"/>
    <x v="3"/>
    <x v="1"/>
    <n v="0"/>
    <n v="0"/>
    <n v="0"/>
    <n v="0"/>
    <n v="0"/>
    <n v="0"/>
    <n v="0"/>
    <n v="0"/>
    <m/>
    <n v="43.6"/>
  </r>
  <r>
    <s v="USR-100489"/>
    <d v="2025-01-05T00:00:00"/>
    <x v="0"/>
    <x v="3"/>
    <x v="1"/>
    <x v="2"/>
    <x v="0"/>
    <n v="1"/>
    <n v="0"/>
    <n v="0"/>
    <n v="0"/>
    <n v="0"/>
    <n v="0"/>
    <n v="0"/>
    <n v="0"/>
    <m/>
    <n v="55.5"/>
  </r>
  <r>
    <s v="USR-100490"/>
    <d v="2025-05-10T00:00:00"/>
    <x v="0"/>
    <x v="3"/>
    <x v="0"/>
    <x v="3"/>
    <x v="0"/>
    <n v="0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x v="0"/>
    <n v="1"/>
    <n v="1"/>
    <n v="0"/>
    <n v="0"/>
    <n v="0"/>
    <n v="1"/>
    <n v="1"/>
    <n v="0"/>
    <m/>
    <n v="44.3"/>
  </r>
  <r>
    <s v="USR-100492"/>
    <d v="2025-05-08T00:00:00"/>
    <x v="0"/>
    <x v="3"/>
    <x v="1"/>
    <x v="2"/>
    <x v="1"/>
    <n v="1"/>
    <n v="1"/>
    <n v="0"/>
    <n v="0"/>
    <n v="0"/>
    <n v="0"/>
    <n v="0"/>
    <n v="0"/>
    <m/>
    <n v="45.2"/>
  </r>
  <r>
    <s v="USR-100493"/>
    <d v="2025-03-05T00:00:00"/>
    <x v="0"/>
    <x v="3"/>
    <x v="0"/>
    <x v="0"/>
    <x v="0"/>
    <n v="1"/>
    <n v="0"/>
    <n v="0"/>
    <n v="0"/>
    <n v="0"/>
    <n v="2"/>
    <n v="1"/>
    <n v="0"/>
    <m/>
    <n v="46.1"/>
  </r>
  <r>
    <s v="USR-100494"/>
    <d v="2025-02-17T00:00:00"/>
    <x v="0"/>
    <x v="0"/>
    <x v="1"/>
    <x v="1"/>
    <x v="2"/>
    <n v="1"/>
    <n v="0"/>
    <n v="0"/>
    <n v="0"/>
    <n v="0"/>
    <n v="0"/>
    <n v="0"/>
    <n v="0"/>
    <m/>
    <n v="49.6"/>
  </r>
  <r>
    <s v="USR-100495"/>
    <d v="2025-01-09T00:00:00"/>
    <x v="0"/>
    <x v="3"/>
    <x v="1"/>
    <x v="3"/>
    <x v="0"/>
    <n v="0"/>
    <n v="0"/>
    <n v="0"/>
    <n v="0"/>
    <n v="0"/>
    <n v="0"/>
    <n v="0"/>
    <n v="0"/>
    <m/>
    <n v="70.5"/>
  </r>
  <r>
    <s v="USR-100496"/>
    <d v="2025-05-05T00:00:00"/>
    <x v="0"/>
    <x v="3"/>
    <x v="1"/>
    <x v="0"/>
    <x v="0"/>
    <n v="0"/>
    <n v="0"/>
    <n v="0"/>
    <n v="0"/>
    <n v="0"/>
    <n v="1"/>
    <n v="1"/>
    <n v="0"/>
    <m/>
    <n v="60.8"/>
  </r>
  <r>
    <s v="USR-100497"/>
    <d v="2025-04-16T00:00:00"/>
    <x v="0"/>
    <x v="2"/>
    <x v="1"/>
    <x v="0"/>
    <x v="0"/>
    <n v="0"/>
    <n v="0"/>
    <n v="0"/>
    <n v="0"/>
    <n v="0"/>
    <n v="1"/>
    <n v="1"/>
    <n v="0"/>
    <m/>
    <n v="50.5"/>
  </r>
  <r>
    <s v="USR-100498"/>
    <d v="2025-03-02T00:00:00"/>
    <x v="0"/>
    <x v="3"/>
    <x v="0"/>
    <x v="1"/>
    <x v="1"/>
    <n v="1"/>
    <n v="0"/>
    <n v="0"/>
    <n v="0"/>
    <n v="0"/>
    <n v="0"/>
    <n v="0"/>
    <n v="0"/>
    <m/>
    <n v="54.9"/>
  </r>
  <r>
    <s v="USR-100499"/>
    <d v="2025-04-14T00:00:00"/>
    <x v="0"/>
    <x v="3"/>
    <x v="1"/>
    <x v="4"/>
    <x v="2"/>
    <n v="0"/>
    <n v="0"/>
    <n v="0"/>
    <n v="0"/>
    <n v="0"/>
    <n v="0"/>
    <n v="0"/>
    <n v="0"/>
    <m/>
    <n v="29.9"/>
  </r>
  <r>
    <s v="USR-100500"/>
    <d v="2025-02-15T00:00:00"/>
    <x v="0"/>
    <x v="2"/>
    <x v="0"/>
    <x v="2"/>
    <x v="0"/>
    <n v="0"/>
    <n v="0"/>
    <n v="0"/>
    <n v="0"/>
    <n v="0"/>
    <n v="0"/>
    <n v="0"/>
    <n v="0"/>
    <m/>
    <n v="48.3"/>
  </r>
  <r>
    <s v="USR-100501"/>
    <d v="2025-02-13T00:00:00"/>
    <x v="0"/>
    <x v="1"/>
    <x v="1"/>
    <x v="4"/>
    <x v="1"/>
    <n v="1"/>
    <n v="1"/>
    <n v="1"/>
    <n v="1"/>
    <n v="513.61"/>
    <n v="0"/>
    <n v="0"/>
    <n v="0"/>
    <n v="7"/>
    <n v="41.3"/>
  </r>
  <r>
    <s v="USR-100502"/>
    <d v="2025-03-06T00:00:00"/>
    <x v="0"/>
    <x v="0"/>
    <x v="1"/>
    <x v="0"/>
    <x v="1"/>
    <n v="0"/>
    <n v="0"/>
    <n v="0"/>
    <n v="0"/>
    <n v="0"/>
    <n v="0"/>
    <n v="0"/>
    <n v="0"/>
    <m/>
    <n v="61.4"/>
  </r>
  <r>
    <s v="USR-100503"/>
    <d v="2025-02-18T00:00:00"/>
    <x v="0"/>
    <x v="3"/>
    <x v="0"/>
    <x v="4"/>
    <x v="1"/>
    <n v="0"/>
    <n v="0"/>
    <n v="0"/>
    <n v="0"/>
    <n v="0"/>
    <n v="0"/>
    <n v="0"/>
    <n v="0"/>
    <m/>
    <n v="57.8"/>
  </r>
  <r>
    <s v="USR-100504"/>
    <d v="2025-04-07T00:00:00"/>
    <x v="0"/>
    <x v="0"/>
    <x v="0"/>
    <x v="1"/>
    <x v="1"/>
    <n v="0"/>
    <n v="0"/>
    <n v="0"/>
    <n v="0"/>
    <n v="0"/>
    <n v="0"/>
    <n v="0"/>
    <n v="0"/>
    <m/>
    <n v="78.2"/>
  </r>
  <r>
    <s v="USR-100505"/>
    <d v="2025-04-06T00:00:00"/>
    <x v="0"/>
    <x v="0"/>
    <x v="1"/>
    <x v="3"/>
    <x v="1"/>
    <n v="0"/>
    <n v="0"/>
    <n v="0"/>
    <n v="0"/>
    <n v="0"/>
    <n v="0"/>
    <n v="0"/>
    <n v="0"/>
    <m/>
    <n v="63.8"/>
  </r>
  <r>
    <s v="USR-100506"/>
    <d v="2025-01-30T00:00:00"/>
    <x v="0"/>
    <x v="0"/>
    <x v="0"/>
    <x v="4"/>
    <x v="1"/>
    <n v="1"/>
    <n v="0"/>
    <n v="0"/>
    <n v="0"/>
    <n v="0"/>
    <n v="0"/>
    <n v="0"/>
    <n v="0"/>
    <m/>
    <n v="56.8"/>
  </r>
  <r>
    <s v="USR-100507"/>
    <d v="2025-05-13T00:00:00"/>
    <x v="0"/>
    <x v="3"/>
    <x v="0"/>
    <x v="1"/>
    <x v="0"/>
    <n v="1"/>
    <n v="1"/>
    <n v="0"/>
    <n v="0"/>
    <n v="0"/>
    <n v="0"/>
    <n v="0"/>
    <n v="0"/>
    <m/>
    <n v="59.6"/>
  </r>
  <r>
    <s v="USR-100508"/>
    <d v="2025-01-20T00:00:00"/>
    <x v="0"/>
    <x v="1"/>
    <x v="1"/>
    <x v="2"/>
    <x v="2"/>
    <n v="1"/>
    <n v="1"/>
    <n v="0"/>
    <n v="0"/>
    <n v="0"/>
    <n v="0"/>
    <n v="0"/>
    <n v="0"/>
    <m/>
    <n v="50"/>
  </r>
  <r>
    <s v="USR-100509"/>
    <d v="2025-01-30T00:00:00"/>
    <x v="0"/>
    <x v="0"/>
    <x v="2"/>
    <x v="1"/>
    <x v="1"/>
    <n v="1"/>
    <n v="0"/>
    <n v="0"/>
    <n v="0"/>
    <n v="0"/>
    <n v="0"/>
    <n v="0"/>
    <n v="0"/>
    <m/>
    <n v="35.700000000000003"/>
  </r>
  <r>
    <s v="USR-100510"/>
    <d v="2025-01-13T00:00:00"/>
    <x v="0"/>
    <x v="3"/>
    <x v="1"/>
    <x v="1"/>
    <x v="1"/>
    <n v="0"/>
    <n v="0"/>
    <n v="0"/>
    <n v="0"/>
    <n v="0"/>
    <n v="2"/>
    <n v="1"/>
    <n v="0"/>
    <m/>
    <n v="47.2"/>
  </r>
  <r>
    <s v="USR-100511"/>
    <d v="2025-02-11T00:00:00"/>
    <x v="0"/>
    <x v="0"/>
    <x v="1"/>
    <x v="4"/>
    <x v="1"/>
    <n v="1"/>
    <n v="1"/>
    <n v="0"/>
    <n v="0"/>
    <n v="0"/>
    <n v="0"/>
    <n v="0"/>
    <n v="0"/>
    <m/>
    <n v="56.9"/>
  </r>
  <r>
    <s v="USR-100512"/>
    <d v="2025-04-15T00:00:00"/>
    <x v="0"/>
    <x v="3"/>
    <x v="1"/>
    <x v="1"/>
    <x v="1"/>
    <n v="0"/>
    <n v="0"/>
    <n v="0"/>
    <n v="0"/>
    <n v="0"/>
    <n v="1"/>
    <n v="1"/>
    <n v="0"/>
    <m/>
    <n v="57.2"/>
  </r>
  <r>
    <s v="USR-100513"/>
    <d v="2025-02-13T00:00:00"/>
    <x v="0"/>
    <x v="3"/>
    <x v="1"/>
    <x v="5"/>
    <x v="1"/>
    <n v="1"/>
    <n v="1"/>
    <n v="0"/>
    <n v="0"/>
    <n v="0"/>
    <n v="0"/>
    <n v="0"/>
    <n v="0"/>
    <m/>
    <n v="31.4"/>
  </r>
  <r>
    <s v="USR-100514"/>
    <d v="2025-05-09T00:00:00"/>
    <x v="0"/>
    <x v="3"/>
    <x v="0"/>
    <x v="1"/>
    <x v="1"/>
    <n v="0"/>
    <n v="0"/>
    <n v="0"/>
    <n v="0"/>
    <n v="0"/>
    <n v="0"/>
    <n v="0"/>
    <n v="0"/>
    <m/>
    <n v="71.2"/>
  </r>
  <r>
    <s v="USR-100515"/>
    <d v="2025-03-10T00:00:00"/>
    <x v="0"/>
    <x v="0"/>
    <x v="1"/>
    <x v="2"/>
    <x v="1"/>
    <n v="1"/>
    <n v="1"/>
    <n v="1"/>
    <n v="0"/>
    <n v="0"/>
    <n v="1"/>
    <n v="1"/>
    <n v="0"/>
    <m/>
    <n v="38.299999999999997"/>
  </r>
  <r>
    <s v="USR-100516"/>
    <d v="2025-04-01T00:00:00"/>
    <x v="0"/>
    <x v="0"/>
    <x v="1"/>
    <x v="1"/>
    <x v="1"/>
    <n v="1"/>
    <n v="1"/>
    <n v="0"/>
    <n v="0"/>
    <n v="0"/>
    <n v="0"/>
    <n v="0"/>
    <n v="0"/>
    <m/>
    <n v="63.1"/>
  </r>
  <r>
    <s v="USR-100517"/>
    <d v="2025-05-15T00:00:00"/>
    <x v="0"/>
    <x v="2"/>
    <x v="1"/>
    <x v="3"/>
    <x v="0"/>
    <n v="1"/>
    <n v="0"/>
    <n v="0"/>
    <n v="0"/>
    <n v="0"/>
    <n v="0"/>
    <n v="0"/>
    <n v="0"/>
    <m/>
    <n v="59.7"/>
  </r>
  <r>
    <s v="USR-100518"/>
    <d v="2025-05-04T00:00:00"/>
    <x v="0"/>
    <x v="3"/>
    <x v="0"/>
    <x v="4"/>
    <x v="2"/>
    <n v="1"/>
    <n v="1"/>
    <n v="1"/>
    <n v="0"/>
    <n v="0"/>
    <n v="0"/>
    <n v="0"/>
    <n v="0"/>
    <m/>
    <n v="59.5"/>
  </r>
  <r>
    <s v="USR-100519"/>
    <d v="2025-05-20T00:00:00"/>
    <x v="0"/>
    <x v="2"/>
    <x v="1"/>
    <x v="2"/>
    <x v="1"/>
    <n v="0"/>
    <n v="0"/>
    <n v="0"/>
    <n v="0"/>
    <n v="0"/>
    <n v="0"/>
    <n v="0"/>
    <n v="0"/>
    <m/>
    <n v="78.8"/>
  </r>
  <r>
    <s v="USR-100520"/>
    <d v="2025-05-16T00:00:00"/>
    <x v="0"/>
    <x v="1"/>
    <x v="0"/>
    <x v="3"/>
    <x v="1"/>
    <n v="0"/>
    <n v="0"/>
    <n v="0"/>
    <n v="0"/>
    <n v="0"/>
    <n v="0"/>
    <n v="0"/>
    <n v="0"/>
    <m/>
    <n v="54"/>
  </r>
  <r>
    <s v="USR-100521"/>
    <d v="2025-03-17T00:00:00"/>
    <x v="0"/>
    <x v="1"/>
    <x v="1"/>
    <x v="1"/>
    <x v="1"/>
    <n v="1"/>
    <n v="0"/>
    <n v="0"/>
    <n v="0"/>
    <n v="0"/>
    <n v="0"/>
    <n v="0"/>
    <n v="0"/>
    <m/>
    <n v="66.3"/>
  </r>
  <r>
    <s v="USR-100522"/>
    <d v="2025-01-27T00:00:00"/>
    <x v="0"/>
    <x v="2"/>
    <x v="2"/>
    <x v="2"/>
    <x v="1"/>
    <n v="1"/>
    <n v="1"/>
    <n v="0"/>
    <n v="0"/>
    <n v="0"/>
    <n v="0"/>
    <n v="0"/>
    <n v="0"/>
    <m/>
    <n v="54.7"/>
  </r>
  <r>
    <s v="USR-100523"/>
    <d v="2025-04-13T00:00:00"/>
    <x v="0"/>
    <x v="3"/>
    <x v="1"/>
    <x v="1"/>
    <x v="0"/>
    <n v="1"/>
    <n v="0"/>
    <n v="0"/>
    <n v="0"/>
    <n v="0"/>
    <n v="0"/>
    <n v="0"/>
    <n v="0"/>
    <m/>
    <n v="76.7"/>
  </r>
  <r>
    <s v="USR-100524"/>
    <d v="2025-05-03T00:00:00"/>
    <x v="0"/>
    <x v="3"/>
    <x v="0"/>
    <x v="0"/>
    <x v="0"/>
    <n v="1"/>
    <n v="0"/>
    <n v="0"/>
    <n v="0"/>
    <n v="0"/>
    <n v="2"/>
    <n v="1"/>
    <n v="0"/>
    <m/>
    <n v="47.4"/>
  </r>
  <r>
    <s v="USR-100525"/>
    <d v="2025-03-30T00:00:00"/>
    <x v="0"/>
    <x v="0"/>
    <x v="1"/>
    <x v="1"/>
    <x v="1"/>
    <n v="1"/>
    <n v="1"/>
    <n v="1"/>
    <n v="0"/>
    <n v="0"/>
    <n v="0"/>
    <n v="0"/>
    <n v="0"/>
    <m/>
    <n v="81.7"/>
  </r>
  <r>
    <s v="USR-100526"/>
    <d v="2025-01-01T00:00:00"/>
    <x v="0"/>
    <x v="1"/>
    <x v="1"/>
    <x v="2"/>
    <x v="0"/>
    <n v="1"/>
    <n v="1"/>
    <n v="1"/>
    <n v="0"/>
    <n v="0"/>
    <n v="0"/>
    <n v="0"/>
    <n v="0"/>
    <m/>
    <n v="67.5"/>
  </r>
  <r>
    <s v="USR-100527"/>
    <d v="2025-02-06T00:00:00"/>
    <x v="0"/>
    <x v="1"/>
    <x v="1"/>
    <x v="2"/>
    <x v="0"/>
    <n v="1"/>
    <n v="0"/>
    <n v="0"/>
    <n v="0"/>
    <n v="0"/>
    <n v="0"/>
    <n v="0"/>
    <n v="0"/>
    <m/>
    <n v="36.799999999999997"/>
  </r>
  <r>
    <s v="USR-100528"/>
    <d v="2025-02-25T00:00:00"/>
    <x v="0"/>
    <x v="0"/>
    <x v="0"/>
    <x v="1"/>
    <x v="1"/>
    <n v="0"/>
    <n v="0"/>
    <n v="0"/>
    <n v="0"/>
    <n v="0"/>
    <n v="0"/>
    <n v="0"/>
    <n v="0"/>
    <m/>
    <n v="66.5"/>
  </r>
  <r>
    <s v="USR-100529"/>
    <d v="2025-05-14T00:00:00"/>
    <x v="0"/>
    <x v="2"/>
    <x v="2"/>
    <x v="4"/>
    <x v="1"/>
    <n v="1"/>
    <n v="0"/>
    <n v="0"/>
    <n v="0"/>
    <n v="0"/>
    <n v="0"/>
    <n v="0"/>
    <n v="0"/>
    <m/>
    <n v="35.4"/>
  </r>
  <r>
    <s v="USR-100530"/>
    <d v="2025-05-20T00:00:00"/>
    <x v="0"/>
    <x v="3"/>
    <x v="1"/>
    <x v="1"/>
    <x v="0"/>
    <n v="0"/>
    <n v="0"/>
    <n v="0"/>
    <n v="0"/>
    <n v="0"/>
    <n v="0"/>
    <n v="0"/>
    <n v="0"/>
    <m/>
    <n v="64.3"/>
  </r>
  <r>
    <s v="USR-100531"/>
    <d v="2025-02-11T00:00:00"/>
    <x v="0"/>
    <x v="3"/>
    <x v="1"/>
    <x v="1"/>
    <x v="1"/>
    <n v="0"/>
    <n v="0"/>
    <n v="0"/>
    <n v="0"/>
    <n v="0"/>
    <n v="0"/>
    <n v="0"/>
    <n v="0"/>
    <m/>
    <n v="49.1"/>
  </r>
  <r>
    <s v="USR-100532"/>
    <d v="2025-02-13T00:00:00"/>
    <x v="0"/>
    <x v="1"/>
    <x v="1"/>
    <x v="1"/>
    <x v="1"/>
    <n v="1"/>
    <n v="0"/>
    <n v="0"/>
    <n v="0"/>
    <n v="0"/>
    <n v="0"/>
    <n v="0"/>
    <n v="0"/>
    <m/>
    <n v="84.3"/>
  </r>
  <r>
    <s v="USR-100533"/>
    <d v="2025-04-07T00:00:00"/>
    <x v="0"/>
    <x v="3"/>
    <x v="1"/>
    <x v="2"/>
    <x v="2"/>
    <n v="1"/>
    <n v="0"/>
    <n v="0"/>
    <n v="0"/>
    <n v="0"/>
    <n v="0"/>
    <n v="0"/>
    <n v="0"/>
    <m/>
    <n v="65.599999999999994"/>
  </r>
  <r>
    <s v="USR-100534"/>
    <d v="2025-03-08T00:00:00"/>
    <x v="0"/>
    <x v="2"/>
    <x v="1"/>
    <x v="0"/>
    <x v="1"/>
    <n v="1"/>
    <n v="0"/>
    <n v="0"/>
    <n v="0"/>
    <n v="0"/>
    <n v="0"/>
    <n v="0"/>
    <n v="0"/>
    <m/>
    <n v="47.1"/>
  </r>
  <r>
    <s v="USR-100535"/>
    <d v="2025-02-16T00:00:00"/>
    <x v="0"/>
    <x v="0"/>
    <x v="0"/>
    <x v="2"/>
    <x v="1"/>
    <n v="1"/>
    <n v="1"/>
    <n v="1"/>
    <n v="0"/>
    <n v="0"/>
    <n v="0"/>
    <n v="0"/>
    <n v="0"/>
    <m/>
    <n v="70"/>
  </r>
  <r>
    <s v="USR-100536"/>
    <d v="2025-04-28T00:00:00"/>
    <x v="0"/>
    <x v="3"/>
    <x v="1"/>
    <x v="2"/>
    <x v="2"/>
    <n v="1"/>
    <n v="0"/>
    <n v="0"/>
    <n v="0"/>
    <n v="0"/>
    <n v="0"/>
    <n v="0"/>
    <n v="0"/>
    <m/>
    <n v="54.6"/>
  </r>
  <r>
    <s v="USR-100537"/>
    <d v="2025-03-10T00:00:00"/>
    <x v="0"/>
    <x v="1"/>
    <x v="2"/>
    <x v="4"/>
    <x v="0"/>
    <n v="1"/>
    <n v="1"/>
    <n v="0"/>
    <n v="0"/>
    <n v="0"/>
    <n v="1"/>
    <n v="1"/>
    <n v="0"/>
    <m/>
    <n v="65.2"/>
  </r>
  <r>
    <s v="USR-100538"/>
    <d v="2025-01-25T00:00:00"/>
    <x v="0"/>
    <x v="2"/>
    <x v="1"/>
    <x v="4"/>
    <x v="1"/>
    <n v="1"/>
    <n v="0"/>
    <n v="0"/>
    <n v="0"/>
    <n v="0"/>
    <n v="0"/>
    <n v="0"/>
    <n v="0"/>
    <m/>
    <n v="65"/>
  </r>
  <r>
    <s v="USR-100539"/>
    <d v="2025-01-11T00:00:00"/>
    <x v="0"/>
    <x v="1"/>
    <x v="1"/>
    <x v="2"/>
    <x v="2"/>
    <n v="1"/>
    <n v="1"/>
    <n v="1"/>
    <n v="0"/>
    <n v="0"/>
    <n v="1"/>
    <n v="1"/>
    <n v="0"/>
    <m/>
    <n v="42.1"/>
  </r>
  <r>
    <s v="USR-100540"/>
    <d v="2025-03-31T00:00:00"/>
    <x v="0"/>
    <x v="1"/>
    <x v="2"/>
    <x v="2"/>
    <x v="1"/>
    <n v="1"/>
    <n v="0"/>
    <n v="0"/>
    <n v="0"/>
    <n v="0"/>
    <n v="0"/>
    <n v="0"/>
    <n v="0"/>
    <m/>
    <n v="43.4"/>
  </r>
  <r>
    <s v="USR-100541"/>
    <d v="2025-05-22T00:00:00"/>
    <x v="0"/>
    <x v="0"/>
    <x v="1"/>
    <x v="2"/>
    <x v="0"/>
    <n v="1"/>
    <n v="1"/>
    <n v="0"/>
    <n v="0"/>
    <n v="0"/>
    <n v="0"/>
    <n v="0"/>
    <n v="0"/>
    <m/>
    <n v="39.9"/>
  </r>
  <r>
    <s v="USR-100542"/>
    <d v="2025-05-16T00:00:00"/>
    <x v="0"/>
    <x v="0"/>
    <x v="1"/>
    <x v="3"/>
    <x v="0"/>
    <n v="0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x v="1"/>
    <n v="1"/>
    <n v="0"/>
    <n v="0"/>
    <n v="0"/>
    <n v="0"/>
    <n v="0"/>
    <n v="0"/>
    <n v="0"/>
    <m/>
    <n v="61.4"/>
  </r>
  <r>
    <s v="USR-100544"/>
    <d v="2025-04-17T00:00:00"/>
    <x v="0"/>
    <x v="2"/>
    <x v="1"/>
    <x v="4"/>
    <x v="2"/>
    <n v="1"/>
    <n v="1"/>
    <n v="1"/>
    <n v="0"/>
    <n v="0"/>
    <n v="0"/>
    <n v="0"/>
    <n v="0"/>
    <m/>
    <n v="76.8"/>
  </r>
  <r>
    <s v="USR-100545"/>
    <d v="2025-01-01T00:00:00"/>
    <x v="0"/>
    <x v="3"/>
    <x v="0"/>
    <x v="4"/>
    <x v="0"/>
    <n v="0"/>
    <n v="0"/>
    <n v="0"/>
    <n v="0"/>
    <n v="0"/>
    <n v="0"/>
    <n v="0"/>
    <n v="0"/>
    <m/>
    <m/>
  </r>
  <r>
    <s v="USR-100546"/>
    <d v="2025-03-18T00:00:00"/>
    <x v="0"/>
    <x v="2"/>
    <x v="1"/>
    <x v="2"/>
    <x v="0"/>
    <n v="1"/>
    <n v="1"/>
    <n v="1"/>
    <n v="0"/>
    <n v="0"/>
    <n v="0"/>
    <n v="0"/>
    <n v="0"/>
    <m/>
    <n v="45.3"/>
  </r>
  <r>
    <s v="USR-100547"/>
    <d v="2025-05-20T00:00:00"/>
    <x v="0"/>
    <x v="0"/>
    <x v="2"/>
    <x v="2"/>
    <x v="1"/>
    <n v="1"/>
    <n v="0"/>
    <n v="0"/>
    <n v="0"/>
    <n v="0"/>
    <n v="0"/>
    <n v="0"/>
    <n v="0"/>
    <m/>
    <n v="41.4"/>
  </r>
  <r>
    <s v="USR-100548"/>
    <d v="2025-03-16T00:00:00"/>
    <x v="0"/>
    <x v="0"/>
    <x v="1"/>
    <x v="1"/>
    <x v="0"/>
    <n v="1"/>
    <n v="0"/>
    <n v="0"/>
    <n v="0"/>
    <n v="0"/>
    <n v="0"/>
    <n v="0"/>
    <n v="0"/>
    <m/>
    <n v="37.1"/>
  </r>
  <r>
    <s v="USR-100549"/>
    <d v="2025-05-30T00:00:00"/>
    <x v="0"/>
    <x v="2"/>
    <x v="0"/>
    <x v="4"/>
    <x v="1"/>
    <n v="1"/>
    <n v="0"/>
    <n v="0"/>
    <n v="0"/>
    <n v="0"/>
    <n v="0"/>
    <n v="0"/>
    <n v="0"/>
    <m/>
    <n v="40.700000000000003"/>
  </r>
  <r>
    <s v="USR-100550"/>
    <d v="2025-02-20T00:00:00"/>
    <x v="0"/>
    <x v="0"/>
    <x v="1"/>
    <x v="4"/>
    <x v="2"/>
    <n v="0"/>
    <n v="0"/>
    <n v="0"/>
    <n v="0"/>
    <n v="0"/>
    <n v="2"/>
    <n v="1"/>
    <n v="0"/>
    <m/>
    <n v="55.9"/>
  </r>
  <r>
    <s v="USR-100551"/>
    <d v="2025-02-11T00:00:00"/>
    <x v="0"/>
    <x v="2"/>
    <x v="3"/>
    <x v="4"/>
    <x v="1"/>
    <n v="1"/>
    <n v="1"/>
    <n v="0"/>
    <n v="0"/>
    <n v="0"/>
    <n v="0"/>
    <n v="0"/>
    <n v="0"/>
    <m/>
    <n v="55.8"/>
  </r>
  <r>
    <s v="USR-100552"/>
    <d v="2025-01-02T00:00:00"/>
    <x v="0"/>
    <x v="3"/>
    <x v="2"/>
    <x v="3"/>
    <x v="0"/>
    <n v="1"/>
    <n v="0"/>
    <n v="0"/>
    <n v="0"/>
    <n v="0"/>
    <n v="0"/>
    <n v="0"/>
    <n v="0"/>
    <m/>
    <n v="64.3"/>
  </r>
  <r>
    <s v="USR-100553"/>
    <d v="2025-05-03T00:00:00"/>
    <x v="0"/>
    <x v="0"/>
    <x v="1"/>
    <x v="1"/>
    <x v="1"/>
    <n v="0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x v="1"/>
    <n v="1"/>
    <n v="0"/>
    <n v="0"/>
    <n v="0"/>
    <n v="0"/>
    <n v="0"/>
    <n v="0"/>
    <n v="0"/>
    <m/>
    <n v="89.8"/>
  </r>
  <r>
    <s v="USR-100555"/>
    <d v="2025-02-11T00:00:00"/>
    <x v="0"/>
    <x v="3"/>
    <x v="3"/>
    <x v="1"/>
    <x v="1"/>
    <n v="1"/>
    <n v="1"/>
    <n v="1"/>
    <n v="0"/>
    <n v="0"/>
    <n v="0"/>
    <n v="0"/>
    <n v="0"/>
    <m/>
    <n v="58.3"/>
  </r>
  <r>
    <s v="USR-100556"/>
    <d v="2025-05-06T00:00:00"/>
    <x v="0"/>
    <x v="3"/>
    <x v="1"/>
    <x v="4"/>
    <x v="0"/>
    <n v="1"/>
    <n v="0"/>
    <n v="0"/>
    <n v="0"/>
    <n v="0"/>
    <n v="0"/>
    <n v="0"/>
    <n v="0"/>
    <m/>
    <n v="64.400000000000006"/>
  </r>
  <r>
    <s v="USR-100557"/>
    <d v="2025-05-23T00:00:00"/>
    <x v="0"/>
    <x v="0"/>
    <x v="1"/>
    <x v="2"/>
    <x v="2"/>
    <n v="0"/>
    <n v="0"/>
    <n v="0"/>
    <n v="0"/>
    <n v="0"/>
    <n v="0"/>
    <n v="0"/>
    <n v="0"/>
    <m/>
    <n v="46.2"/>
  </r>
  <r>
    <s v="USR-100558"/>
    <d v="2025-01-09T00:00:00"/>
    <x v="0"/>
    <x v="0"/>
    <x v="0"/>
    <x v="2"/>
    <x v="1"/>
    <n v="0"/>
    <n v="0"/>
    <n v="0"/>
    <n v="0"/>
    <n v="0"/>
    <n v="0"/>
    <n v="0"/>
    <n v="0"/>
    <m/>
    <n v="78"/>
  </r>
  <r>
    <s v="USR-100559"/>
    <d v="2025-04-01T00:00:00"/>
    <x v="0"/>
    <x v="0"/>
    <x v="0"/>
    <x v="1"/>
    <x v="2"/>
    <n v="1"/>
    <n v="0"/>
    <n v="0"/>
    <n v="0"/>
    <n v="0"/>
    <n v="0"/>
    <n v="0"/>
    <n v="0"/>
    <m/>
    <n v="62.3"/>
  </r>
  <r>
    <s v="USR-100560"/>
    <d v="2025-03-08T00:00:00"/>
    <x v="0"/>
    <x v="0"/>
    <x v="1"/>
    <x v="1"/>
    <x v="1"/>
    <n v="1"/>
    <n v="0"/>
    <n v="0"/>
    <n v="0"/>
    <n v="0"/>
    <n v="0"/>
    <n v="0"/>
    <n v="0"/>
    <m/>
    <n v="78.8"/>
  </r>
  <r>
    <s v="USR-100561"/>
    <d v="2025-02-20T00:00:00"/>
    <x v="0"/>
    <x v="0"/>
    <x v="1"/>
    <x v="4"/>
    <x v="0"/>
    <n v="1"/>
    <n v="0"/>
    <n v="0"/>
    <n v="0"/>
    <n v="0"/>
    <n v="0"/>
    <n v="0"/>
    <n v="0"/>
    <m/>
    <n v="25"/>
  </r>
  <r>
    <s v="USR-100562"/>
    <d v="2025-03-30T00:00:00"/>
    <x v="0"/>
    <x v="2"/>
    <x v="1"/>
    <x v="4"/>
    <x v="0"/>
    <n v="0"/>
    <n v="0"/>
    <n v="0"/>
    <n v="0"/>
    <n v="0"/>
    <n v="0"/>
    <n v="0"/>
    <n v="0"/>
    <m/>
    <n v="53.4"/>
  </r>
  <r>
    <s v="USR-100563"/>
    <d v="2025-04-10T00:00:00"/>
    <x v="0"/>
    <x v="2"/>
    <x v="0"/>
    <x v="1"/>
    <x v="0"/>
    <n v="0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x v="2"/>
    <n v="1"/>
    <n v="1"/>
    <n v="0"/>
    <n v="0"/>
    <n v="0"/>
    <n v="0"/>
    <n v="0"/>
    <n v="0"/>
    <m/>
    <n v="36.700000000000003"/>
  </r>
  <r>
    <s v="USR-100565"/>
    <d v="2025-05-21T00:00:00"/>
    <x v="0"/>
    <x v="1"/>
    <x v="1"/>
    <x v="1"/>
    <x v="0"/>
    <n v="1"/>
    <n v="0"/>
    <n v="0"/>
    <n v="0"/>
    <n v="0"/>
    <n v="1"/>
    <n v="1"/>
    <n v="0"/>
    <m/>
    <n v="67.5"/>
  </r>
  <r>
    <s v="USR-100566"/>
    <d v="2025-03-29T00:00:00"/>
    <x v="0"/>
    <x v="2"/>
    <x v="1"/>
    <x v="4"/>
    <x v="2"/>
    <n v="1"/>
    <n v="1"/>
    <n v="1"/>
    <n v="0"/>
    <n v="0"/>
    <n v="0"/>
    <n v="0"/>
    <n v="0"/>
    <m/>
    <n v="69.900000000000006"/>
  </r>
  <r>
    <s v="USR-100567"/>
    <d v="2025-02-23T00:00:00"/>
    <x v="0"/>
    <x v="0"/>
    <x v="2"/>
    <x v="3"/>
    <x v="0"/>
    <n v="1"/>
    <n v="0"/>
    <n v="0"/>
    <n v="0"/>
    <n v="0"/>
    <n v="0"/>
    <n v="0"/>
    <n v="0"/>
    <m/>
    <n v="65.099999999999994"/>
  </r>
  <r>
    <s v="USR-100568"/>
    <d v="2025-02-16T00:00:00"/>
    <x v="0"/>
    <x v="1"/>
    <x v="1"/>
    <x v="2"/>
    <x v="2"/>
    <n v="1"/>
    <n v="0"/>
    <n v="0"/>
    <n v="0"/>
    <n v="0"/>
    <n v="0"/>
    <n v="0"/>
    <n v="0"/>
    <m/>
    <n v="48.7"/>
  </r>
  <r>
    <s v="USR-100569"/>
    <d v="2025-02-21T00:00:00"/>
    <x v="0"/>
    <x v="1"/>
    <x v="0"/>
    <x v="1"/>
    <x v="0"/>
    <n v="1"/>
    <n v="1"/>
    <n v="0"/>
    <n v="0"/>
    <n v="0"/>
    <n v="0"/>
    <n v="0"/>
    <n v="0"/>
    <m/>
    <n v="47.2"/>
  </r>
  <r>
    <s v="USR-100570"/>
    <d v="2025-01-07T00:00:00"/>
    <x v="0"/>
    <x v="0"/>
    <x v="1"/>
    <x v="3"/>
    <x v="1"/>
    <n v="1"/>
    <n v="0"/>
    <n v="0"/>
    <n v="0"/>
    <n v="0"/>
    <n v="2"/>
    <n v="1"/>
    <n v="0"/>
    <m/>
    <n v="20.3"/>
  </r>
  <r>
    <s v="USR-100571"/>
    <d v="2025-03-06T00:00:00"/>
    <x v="0"/>
    <x v="1"/>
    <x v="1"/>
    <x v="2"/>
    <x v="1"/>
    <n v="0"/>
    <n v="0"/>
    <n v="0"/>
    <n v="0"/>
    <n v="0"/>
    <n v="1"/>
    <n v="1"/>
    <n v="0"/>
    <m/>
    <n v="57.8"/>
  </r>
  <r>
    <s v="USR-100572"/>
    <d v="2025-03-30T00:00:00"/>
    <x v="0"/>
    <x v="2"/>
    <x v="1"/>
    <x v="0"/>
    <x v="0"/>
    <n v="1"/>
    <n v="0"/>
    <n v="0"/>
    <n v="0"/>
    <n v="0"/>
    <n v="0"/>
    <n v="0"/>
    <n v="0"/>
    <m/>
    <n v="78.7"/>
  </r>
  <r>
    <s v="USR-100573"/>
    <d v="2025-05-31T00:00:00"/>
    <x v="0"/>
    <x v="3"/>
    <x v="0"/>
    <x v="1"/>
    <x v="1"/>
    <n v="1"/>
    <n v="0"/>
    <n v="0"/>
    <n v="0"/>
    <n v="0"/>
    <n v="0"/>
    <n v="0"/>
    <n v="0"/>
    <m/>
    <n v="63.6"/>
  </r>
  <r>
    <s v="USR-100574"/>
    <d v="2025-02-20T00:00:00"/>
    <x v="0"/>
    <x v="3"/>
    <x v="1"/>
    <x v="0"/>
    <x v="1"/>
    <n v="0"/>
    <n v="0"/>
    <n v="0"/>
    <n v="0"/>
    <n v="0"/>
    <n v="2"/>
    <n v="1"/>
    <n v="0"/>
    <m/>
    <n v="45.1"/>
  </r>
  <r>
    <s v="USR-100575"/>
    <d v="2025-01-13T00:00:00"/>
    <x v="0"/>
    <x v="1"/>
    <x v="1"/>
    <x v="4"/>
    <x v="1"/>
    <n v="0"/>
    <n v="0"/>
    <n v="0"/>
    <n v="0"/>
    <n v="0"/>
    <n v="0"/>
    <n v="0"/>
    <n v="0"/>
    <m/>
    <n v="77.5"/>
  </r>
  <r>
    <s v="USR-100576"/>
    <d v="2025-05-13T00:00:00"/>
    <x v="0"/>
    <x v="2"/>
    <x v="0"/>
    <x v="2"/>
    <x v="0"/>
    <n v="1"/>
    <n v="1"/>
    <n v="0"/>
    <n v="0"/>
    <n v="0"/>
    <n v="0"/>
    <n v="0"/>
    <n v="0"/>
    <m/>
    <n v="58"/>
  </r>
  <r>
    <s v="USR-100577"/>
    <d v="2025-04-21T00:00:00"/>
    <x v="0"/>
    <x v="3"/>
    <x v="2"/>
    <x v="1"/>
    <x v="1"/>
    <n v="1"/>
    <n v="0"/>
    <n v="0"/>
    <n v="0"/>
    <n v="0"/>
    <n v="0"/>
    <n v="0"/>
    <n v="0"/>
    <m/>
    <n v="68.099999999999994"/>
  </r>
  <r>
    <s v="USR-100578"/>
    <d v="2025-03-01T00:00:00"/>
    <x v="0"/>
    <x v="2"/>
    <x v="2"/>
    <x v="1"/>
    <x v="2"/>
    <n v="1"/>
    <n v="0"/>
    <n v="0"/>
    <n v="0"/>
    <n v="0"/>
    <n v="0"/>
    <n v="0"/>
    <n v="0"/>
    <m/>
    <n v="35.4"/>
  </r>
  <r>
    <s v="USR-100579"/>
    <d v="2025-03-10T00:00:00"/>
    <x v="0"/>
    <x v="1"/>
    <x v="2"/>
    <x v="1"/>
    <x v="1"/>
    <n v="0"/>
    <n v="0"/>
    <n v="0"/>
    <n v="0"/>
    <n v="0"/>
    <n v="0"/>
    <n v="0"/>
    <n v="0"/>
    <m/>
    <n v="47"/>
  </r>
  <r>
    <s v="USR-100580"/>
    <d v="2025-03-08T00:00:00"/>
    <x v="0"/>
    <x v="2"/>
    <x v="0"/>
    <x v="2"/>
    <x v="1"/>
    <n v="0"/>
    <n v="0"/>
    <n v="0"/>
    <n v="0"/>
    <n v="0"/>
    <n v="0"/>
    <n v="0"/>
    <n v="0"/>
    <m/>
    <n v="75"/>
  </r>
  <r>
    <s v="USR-100581"/>
    <d v="2025-05-26T00:00:00"/>
    <x v="0"/>
    <x v="3"/>
    <x v="0"/>
    <x v="2"/>
    <x v="1"/>
    <n v="1"/>
    <n v="1"/>
    <n v="1"/>
    <n v="0"/>
    <n v="0"/>
    <n v="3"/>
    <n v="1"/>
    <n v="0"/>
    <m/>
    <n v="50.2"/>
  </r>
  <r>
    <s v="USR-100582"/>
    <d v="2025-05-20T00:00:00"/>
    <x v="0"/>
    <x v="2"/>
    <x v="0"/>
    <x v="2"/>
    <x v="1"/>
    <n v="1"/>
    <n v="0"/>
    <n v="0"/>
    <n v="0"/>
    <n v="0"/>
    <n v="0"/>
    <n v="0"/>
    <n v="0"/>
    <m/>
    <n v="40.1"/>
  </r>
  <r>
    <s v="USR-100583"/>
    <d v="2025-03-22T00:00:00"/>
    <x v="0"/>
    <x v="1"/>
    <x v="0"/>
    <x v="2"/>
    <x v="1"/>
    <n v="0"/>
    <n v="0"/>
    <n v="0"/>
    <n v="0"/>
    <n v="0"/>
    <n v="0"/>
    <n v="0"/>
    <n v="0"/>
    <m/>
    <n v="61.1"/>
  </r>
  <r>
    <s v="USR-100584"/>
    <d v="2025-02-15T00:00:00"/>
    <x v="0"/>
    <x v="3"/>
    <x v="0"/>
    <x v="2"/>
    <x v="1"/>
    <n v="0"/>
    <n v="0"/>
    <n v="0"/>
    <n v="0"/>
    <n v="0"/>
    <n v="0"/>
    <n v="0"/>
    <n v="0"/>
    <m/>
    <n v="42.4"/>
  </r>
  <r>
    <s v="USR-100585"/>
    <d v="2025-01-08T00:00:00"/>
    <x v="0"/>
    <x v="0"/>
    <x v="1"/>
    <x v="4"/>
    <x v="1"/>
    <n v="0"/>
    <n v="0"/>
    <n v="0"/>
    <n v="0"/>
    <n v="0"/>
    <n v="1"/>
    <n v="1"/>
    <n v="0"/>
    <m/>
    <n v="46.6"/>
  </r>
  <r>
    <s v="USR-100586"/>
    <d v="2025-01-29T00:00:00"/>
    <x v="0"/>
    <x v="3"/>
    <x v="1"/>
    <x v="1"/>
    <x v="2"/>
    <n v="1"/>
    <n v="1"/>
    <n v="0"/>
    <n v="0"/>
    <n v="0"/>
    <n v="0"/>
    <n v="0"/>
    <n v="0"/>
    <m/>
    <n v="72.099999999999994"/>
  </r>
  <r>
    <s v="USR-100587"/>
    <d v="2025-05-07T00:00:00"/>
    <x v="0"/>
    <x v="2"/>
    <x v="2"/>
    <x v="1"/>
    <x v="1"/>
    <n v="0"/>
    <n v="0"/>
    <n v="0"/>
    <n v="0"/>
    <n v="0"/>
    <n v="0"/>
    <n v="0"/>
    <n v="0"/>
    <m/>
    <n v="21.5"/>
  </r>
  <r>
    <s v="USR-100588"/>
    <d v="2025-03-01T00:00:00"/>
    <x v="0"/>
    <x v="0"/>
    <x v="1"/>
    <x v="4"/>
    <x v="0"/>
    <n v="1"/>
    <n v="0"/>
    <n v="0"/>
    <n v="0"/>
    <n v="0"/>
    <n v="1"/>
    <n v="1"/>
    <n v="0"/>
    <m/>
    <n v="65.400000000000006"/>
  </r>
  <r>
    <s v="USR-100589"/>
    <d v="2025-04-20T00:00:00"/>
    <x v="0"/>
    <x v="2"/>
    <x v="1"/>
    <x v="1"/>
    <x v="1"/>
    <n v="1"/>
    <n v="1"/>
    <n v="0"/>
    <n v="0"/>
    <n v="0"/>
    <n v="0"/>
    <n v="0"/>
    <n v="0"/>
    <m/>
    <n v="53.3"/>
  </r>
  <r>
    <s v="USR-100590"/>
    <d v="2025-01-16T00:00:00"/>
    <x v="0"/>
    <x v="2"/>
    <x v="1"/>
    <x v="1"/>
    <x v="2"/>
    <n v="0"/>
    <n v="0"/>
    <n v="0"/>
    <n v="0"/>
    <n v="0"/>
    <n v="2"/>
    <n v="1"/>
    <n v="0"/>
    <m/>
    <n v="52.3"/>
  </r>
  <r>
    <s v="USR-100591"/>
    <d v="2025-04-04T00:00:00"/>
    <x v="0"/>
    <x v="2"/>
    <x v="1"/>
    <x v="2"/>
    <x v="1"/>
    <n v="1"/>
    <n v="0"/>
    <n v="0"/>
    <n v="0"/>
    <n v="0"/>
    <n v="0"/>
    <n v="0"/>
    <n v="0"/>
    <m/>
    <n v="62.5"/>
  </r>
  <r>
    <s v="USR-100592"/>
    <d v="2025-01-29T00:00:00"/>
    <x v="0"/>
    <x v="0"/>
    <x v="2"/>
    <x v="4"/>
    <x v="1"/>
    <n v="1"/>
    <n v="0"/>
    <n v="0"/>
    <n v="0"/>
    <n v="0"/>
    <n v="0"/>
    <n v="0"/>
    <n v="0"/>
    <m/>
    <n v="69.8"/>
  </r>
  <r>
    <s v="USR-100593"/>
    <d v="2025-04-19T00:00:00"/>
    <x v="0"/>
    <x v="2"/>
    <x v="1"/>
    <x v="0"/>
    <x v="1"/>
    <n v="1"/>
    <n v="0"/>
    <n v="0"/>
    <n v="0"/>
    <n v="0"/>
    <n v="0"/>
    <n v="0"/>
    <n v="0"/>
    <m/>
    <n v="68.2"/>
  </r>
  <r>
    <s v="USR-100594"/>
    <d v="2025-03-10T00:00:00"/>
    <x v="0"/>
    <x v="3"/>
    <x v="1"/>
    <x v="4"/>
    <x v="0"/>
    <n v="1"/>
    <n v="1"/>
    <n v="1"/>
    <n v="1"/>
    <n v="751.73"/>
    <n v="0"/>
    <n v="0"/>
    <n v="0"/>
    <n v="6"/>
    <n v="35.200000000000003"/>
  </r>
  <r>
    <s v="USR-100595"/>
    <d v="2025-05-10T00:00:00"/>
    <x v="0"/>
    <x v="3"/>
    <x v="1"/>
    <x v="4"/>
    <x v="0"/>
    <n v="0"/>
    <n v="0"/>
    <n v="0"/>
    <n v="0"/>
    <n v="0"/>
    <n v="0"/>
    <n v="0"/>
    <n v="0"/>
    <m/>
    <n v="59.3"/>
  </r>
  <r>
    <s v="USR-100596"/>
    <d v="2025-02-02T00:00:00"/>
    <x v="0"/>
    <x v="0"/>
    <x v="1"/>
    <x v="4"/>
    <x v="1"/>
    <n v="0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x v="1"/>
    <n v="1"/>
    <n v="1"/>
    <n v="0"/>
    <n v="0"/>
    <n v="0"/>
    <n v="0"/>
    <n v="0"/>
    <n v="0"/>
    <m/>
    <n v="74.8"/>
  </r>
  <r>
    <s v="USR-100598"/>
    <d v="2025-01-19T00:00:00"/>
    <x v="0"/>
    <x v="1"/>
    <x v="0"/>
    <x v="1"/>
    <x v="1"/>
    <n v="1"/>
    <n v="1"/>
    <n v="1"/>
    <n v="0"/>
    <n v="0"/>
    <n v="0"/>
    <n v="0"/>
    <n v="0"/>
    <m/>
    <n v="61.7"/>
  </r>
  <r>
    <s v="USR-100599"/>
    <d v="2025-01-02T00:00:00"/>
    <x v="0"/>
    <x v="0"/>
    <x v="1"/>
    <x v="1"/>
    <x v="1"/>
    <n v="1"/>
    <n v="0"/>
    <n v="0"/>
    <n v="0"/>
    <n v="0"/>
    <n v="0"/>
    <n v="0"/>
    <n v="0"/>
    <m/>
    <n v="24.3"/>
  </r>
  <r>
    <s v="USR-100600"/>
    <d v="2025-05-03T00:00:00"/>
    <x v="0"/>
    <x v="3"/>
    <x v="0"/>
    <x v="2"/>
    <x v="1"/>
    <n v="0"/>
    <n v="0"/>
    <n v="0"/>
    <n v="0"/>
    <n v="0"/>
    <n v="1"/>
    <n v="1"/>
    <n v="0"/>
    <m/>
    <n v="61.9"/>
  </r>
  <r>
    <s v="USR-100601"/>
    <d v="2025-05-27T00:00:00"/>
    <x v="0"/>
    <x v="2"/>
    <x v="0"/>
    <x v="3"/>
    <x v="2"/>
    <n v="0"/>
    <n v="0"/>
    <n v="0"/>
    <n v="0"/>
    <n v="0"/>
    <n v="2"/>
    <n v="1"/>
    <n v="0"/>
    <m/>
    <n v="41.7"/>
  </r>
  <r>
    <s v="USR-100602"/>
    <d v="2025-02-09T00:00:00"/>
    <x v="0"/>
    <x v="3"/>
    <x v="0"/>
    <x v="4"/>
    <x v="1"/>
    <n v="1"/>
    <n v="0"/>
    <n v="0"/>
    <n v="0"/>
    <n v="0"/>
    <n v="0"/>
    <n v="0"/>
    <n v="0"/>
    <m/>
    <n v="87.6"/>
  </r>
  <r>
    <s v="USR-100603"/>
    <d v="2025-05-18T00:00:00"/>
    <x v="0"/>
    <x v="2"/>
    <x v="1"/>
    <x v="2"/>
    <x v="1"/>
    <n v="1"/>
    <n v="0"/>
    <n v="0"/>
    <n v="0"/>
    <n v="0"/>
    <n v="0"/>
    <n v="0"/>
    <n v="0"/>
    <m/>
    <n v="30.8"/>
  </r>
  <r>
    <s v="USR-100604"/>
    <d v="2025-05-17T00:00:00"/>
    <x v="0"/>
    <x v="0"/>
    <x v="1"/>
    <x v="0"/>
    <x v="1"/>
    <n v="0"/>
    <n v="0"/>
    <n v="0"/>
    <n v="0"/>
    <n v="0"/>
    <n v="0"/>
    <n v="0"/>
    <n v="0"/>
    <m/>
    <n v="54"/>
  </r>
  <r>
    <s v="USR-100605"/>
    <d v="2025-01-25T00:00:00"/>
    <x v="0"/>
    <x v="2"/>
    <x v="0"/>
    <x v="3"/>
    <x v="0"/>
    <n v="1"/>
    <n v="0"/>
    <n v="0"/>
    <n v="0"/>
    <n v="0"/>
    <n v="1"/>
    <n v="1"/>
    <n v="0"/>
    <m/>
    <n v="54.5"/>
  </r>
  <r>
    <s v="USR-100606"/>
    <d v="2025-05-04T00:00:00"/>
    <x v="0"/>
    <x v="1"/>
    <x v="1"/>
    <x v="2"/>
    <x v="2"/>
    <n v="1"/>
    <n v="1"/>
    <n v="0"/>
    <n v="0"/>
    <n v="0"/>
    <n v="0"/>
    <n v="0"/>
    <n v="0"/>
    <m/>
    <n v="61.3"/>
  </r>
  <r>
    <s v="USR-100607"/>
    <d v="2025-04-14T00:00:00"/>
    <x v="0"/>
    <x v="1"/>
    <x v="1"/>
    <x v="1"/>
    <x v="1"/>
    <n v="1"/>
    <n v="0"/>
    <n v="0"/>
    <n v="0"/>
    <n v="0"/>
    <n v="0"/>
    <n v="0"/>
    <n v="0"/>
    <m/>
    <n v="62.7"/>
  </r>
  <r>
    <s v="USR-100608"/>
    <d v="2025-04-18T00:00:00"/>
    <x v="0"/>
    <x v="3"/>
    <x v="1"/>
    <x v="2"/>
    <x v="1"/>
    <n v="1"/>
    <n v="1"/>
    <n v="0"/>
    <n v="0"/>
    <n v="0"/>
    <n v="0"/>
    <n v="0"/>
    <n v="0"/>
    <m/>
    <n v="43.1"/>
  </r>
  <r>
    <s v="USR-100609"/>
    <d v="2025-02-24T00:00:00"/>
    <x v="0"/>
    <x v="3"/>
    <x v="0"/>
    <x v="0"/>
    <x v="0"/>
    <n v="0"/>
    <n v="0"/>
    <n v="0"/>
    <n v="0"/>
    <n v="0"/>
    <n v="0"/>
    <n v="0"/>
    <n v="0"/>
    <m/>
    <n v="59.9"/>
  </r>
  <r>
    <s v="USR-100610"/>
    <d v="2025-04-19T00:00:00"/>
    <x v="0"/>
    <x v="0"/>
    <x v="2"/>
    <x v="2"/>
    <x v="1"/>
    <n v="1"/>
    <n v="1"/>
    <n v="1"/>
    <n v="0"/>
    <n v="0"/>
    <n v="0"/>
    <n v="0"/>
    <n v="0"/>
    <m/>
    <n v="55.7"/>
  </r>
  <r>
    <s v="USR-100611"/>
    <d v="2025-03-07T00:00:00"/>
    <x v="0"/>
    <x v="3"/>
    <x v="0"/>
    <x v="1"/>
    <x v="0"/>
    <n v="1"/>
    <n v="0"/>
    <n v="0"/>
    <n v="0"/>
    <n v="0"/>
    <n v="0"/>
    <n v="0"/>
    <n v="0"/>
    <m/>
    <n v="37.1"/>
  </r>
  <r>
    <s v="USR-100612"/>
    <d v="2025-03-09T00:00:00"/>
    <x v="0"/>
    <x v="2"/>
    <x v="1"/>
    <x v="1"/>
    <x v="0"/>
    <n v="0"/>
    <n v="0"/>
    <n v="0"/>
    <n v="0"/>
    <n v="0"/>
    <n v="1"/>
    <n v="1"/>
    <n v="0"/>
    <m/>
    <n v="46.7"/>
  </r>
  <r>
    <s v="USR-100613"/>
    <d v="2025-05-01T00:00:00"/>
    <x v="0"/>
    <x v="3"/>
    <x v="0"/>
    <x v="1"/>
    <x v="0"/>
    <n v="1"/>
    <n v="0"/>
    <n v="0"/>
    <n v="0"/>
    <n v="0"/>
    <n v="0"/>
    <n v="0"/>
    <n v="0"/>
    <m/>
    <n v="54.1"/>
  </r>
  <r>
    <s v="USR-100614"/>
    <d v="2025-02-09T00:00:00"/>
    <x v="0"/>
    <x v="1"/>
    <x v="0"/>
    <x v="1"/>
    <x v="2"/>
    <n v="1"/>
    <n v="1"/>
    <n v="1"/>
    <n v="0"/>
    <n v="0"/>
    <n v="0"/>
    <n v="0"/>
    <n v="0"/>
    <m/>
    <n v="56.1"/>
  </r>
  <r>
    <s v="USR-100615"/>
    <d v="2025-05-22T00:00:00"/>
    <x v="0"/>
    <x v="1"/>
    <x v="1"/>
    <x v="3"/>
    <x v="2"/>
    <n v="0"/>
    <n v="0"/>
    <n v="0"/>
    <n v="0"/>
    <n v="0"/>
    <n v="0"/>
    <n v="0"/>
    <n v="0"/>
    <m/>
    <n v="23.6"/>
  </r>
  <r>
    <s v="USR-100616"/>
    <d v="2025-02-11T00:00:00"/>
    <x v="0"/>
    <x v="0"/>
    <x v="1"/>
    <x v="1"/>
    <x v="2"/>
    <n v="0"/>
    <n v="0"/>
    <n v="0"/>
    <n v="0"/>
    <n v="0"/>
    <n v="0"/>
    <n v="0"/>
    <n v="0"/>
    <m/>
    <n v="54.7"/>
  </r>
  <r>
    <s v="USR-100617"/>
    <d v="2025-04-12T00:00:00"/>
    <x v="0"/>
    <x v="0"/>
    <x v="1"/>
    <x v="3"/>
    <x v="0"/>
    <n v="0"/>
    <n v="0"/>
    <n v="0"/>
    <n v="0"/>
    <n v="0"/>
    <n v="2"/>
    <n v="1"/>
    <n v="0"/>
    <m/>
    <n v="50.4"/>
  </r>
  <r>
    <s v="USR-100618"/>
    <d v="2025-03-01T00:00:00"/>
    <x v="0"/>
    <x v="1"/>
    <x v="1"/>
    <x v="4"/>
    <x v="1"/>
    <n v="1"/>
    <n v="0"/>
    <n v="0"/>
    <n v="0"/>
    <n v="0"/>
    <n v="0"/>
    <n v="0"/>
    <n v="0"/>
    <m/>
    <n v="54.5"/>
  </r>
  <r>
    <s v="USR-100619"/>
    <d v="2025-03-17T00:00:00"/>
    <x v="0"/>
    <x v="1"/>
    <x v="0"/>
    <x v="0"/>
    <x v="0"/>
    <n v="0"/>
    <n v="0"/>
    <n v="0"/>
    <n v="0"/>
    <n v="0"/>
    <n v="0"/>
    <n v="0"/>
    <n v="0"/>
    <m/>
    <n v="58"/>
  </r>
  <r>
    <s v="USR-100620"/>
    <d v="2025-01-11T00:00:00"/>
    <x v="0"/>
    <x v="0"/>
    <x v="1"/>
    <x v="2"/>
    <x v="1"/>
    <n v="0"/>
    <n v="0"/>
    <n v="0"/>
    <n v="0"/>
    <n v="0"/>
    <n v="0"/>
    <n v="0"/>
    <n v="0"/>
    <m/>
    <n v="42.9"/>
  </r>
  <r>
    <s v="USR-100621"/>
    <d v="2025-02-17T00:00:00"/>
    <x v="0"/>
    <x v="3"/>
    <x v="1"/>
    <x v="4"/>
    <x v="2"/>
    <n v="1"/>
    <n v="0"/>
    <n v="0"/>
    <n v="0"/>
    <n v="0"/>
    <n v="0"/>
    <n v="0"/>
    <n v="0"/>
    <m/>
    <n v="51.1"/>
  </r>
  <r>
    <s v="USR-100622"/>
    <d v="2025-03-25T00:00:00"/>
    <x v="0"/>
    <x v="2"/>
    <x v="1"/>
    <x v="2"/>
    <x v="0"/>
    <n v="1"/>
    <n v="1"/>
    <n v="0"/>
    <n v="0"/>
    <n v="0"/>
    <n v="0"/>
    <n v="0"/>
    <n v="0"/>
    <m/>
    <n v="51.8"/>
  </r>
  <r>
    <s v="USR-100623"/>
    <d v="2025-05-01T00:00:00"/>
    <x v="0"/>
    <x v="3"/>
    <x v="1"/>
    <x v="2"/>
    <x v="1"/>
    <n v="0"/>
    <n v="0"/>
    <n v="0"/>
    <n v="0"/>
    <n v="0"/>
    <n v="0"/>
    <n v="0"/>
    <n v="0"/>
    <m/>
    <n v="67.7"/>
  </r>
  <r>
    <s v="USR-100624"/>
    <d v="2025-04-02T00:00:00"/>
    <x v="0"/>
    <x v="2"/>
    <x v="1"/>
    <x v="1"/>
    <x v="0"/>
    <n v="0"/>
    <n v="0"/>
    <n v="0"/>
    <n v="0"/>
    <n v="0"/>
    <n v="0"/>
    <n v="0"/>
    <n v="0"/>
    <m/>
    <n v="75.8"/>
  </r>
  <r>
    <s v="USR-100625"/>
    <d v="2025-04-05T00:00:00"/>
    <x v="0"/>
    <x v="2"/>
    <x v="1"/>
    <x v="0"/>
    <x v="1"/>
    <n v="1"/>
    <n v="1"/>
    <n v="0"/>
    <n v="0"/>
    <n v="0"/>
    <n v="0"/>
    <n v="0"/>
    <n v="0"/>
    <m/>
    <n v="72.8"/>
  </r>
  <r>
    <s v="USR-100626"/>
    <d v="2025-02-24T00:00:00"/>
    <x v="0"/>
    <x v="0"/>
    <x v="0"/>
    <x v="4"/>
    <x v="1"/>
    <n v="1"/>
    <n v="1"/>
    <n v="0"/>
    <n v="0"/>
    <n v="0"/>
    <n v="0"/>
    <n v="0"/>
    <n v="0"/>
    <m/>
    <n v="54.4"/>
  </r>
  <r>
    <s v="USR-100627"/>
    <d v="2025-01-24T00:00:00"/>
    <x v="0"/>
    <x v="1"/>
    <x v="1"/>
    <x v="2"/>
    <x v="0"/>
    <n v="1"/>
    <n v="0"/>
    <n v="0"/>
    <n v="0"/>
    <n v="0"/>
    <n v="0"/>
    <n v="0"/>
    <n v="0"/>
    <m/>
    <n v="51.8"/>
  </r>
  <r>
    <s v="USR-100628"/>
    <d v="2025-04-10T00:00:00"/>
    <x v="0"/>
    <x v="3"/>
    <x v="1"/>
    <x v="2"/>
    <x v="1"/>
    <n v="0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x v="1"/>
    <n v="1"/>
    <n v="1"/>
    <n v="1"/>
    <n v="0"/>
    <n v="0"/>
    <n v="0"/>
    <n v="0"/>
    <n v="0"/>
    <m/>
    <n v="61.7"/>
  </r>
  <r>
    <s v="USR-100630"/>
    <d v="2025-03-22T00:00:00"/>
    <x v="0"/>
    <x v="0"/>
    <x v="1"/>
    <x v="4"/>
    <x v="1"/>
    <n v="0"/>
    <n v="0"/>
    <n v="0"/>
    <n v="0"/>
    <n v="0"/>
    <n v="0"/>
    <n v="0"/>
    <n v="0"/>
    <m/>
    <n v="45"/>
  </r>
  <r>
    <s v="USR-100631"/>
    <d v="2025-04-08T00:00:00"/>
    <x v="0"/>
    <x v="2"/>
    <x v="0"/>
    <x v="1"/>
    <x v="2"/>
    <n v="1"/>
    <n v="1"/>
    <n v="1"/>
    <n v="0"/>
    <n v="0"/>
    <n v="0"/>
    <n v="0"/>
    <n v="0"/>
    <m/>
    <n v="60"/>
  </r>
  <r>
    <s v="USR-100632"/>
    <d v="2025-03-16T00:00:00"/>
    <x v="0"/>
    <x v="0"/>
    <x v="1"/>
    <x v="4"/>
    <x v="1"/>
    <n v="1"/>
    <n v="0"/>
    <n v="0"/>
    <n v="0"/>
    <n v="0"/>
    <n v="0"/>
    <n v="0"/>
    <n v="0"/>
    <m/>
    <m/>
  </r>
  <r>
    <s v="USR-100633"/>
    <d v="2025-03-07T00:00:00"/>
    <x v="0"/>
    <x v="2"/>
    <x v="1"/>
    <x v="2"/>
    <x v="1"/>
    <n v="1"/>
    <n v="0"/>
    <n v="0"/>
    <n v="0"/>
    <n v="0"/>
    <n v="0"/>
    <n v="0"/>
    <n v="0"/>
    <m/>
    <n v="55.5"/>
  </r>
  <r>
    <s v="USR-100634"/>
    <d v="2025-03-16T00:00:00"/>
    <x v="0"/>
    <x v="3"/>
    <x v="1"/>
    <x v="3"/>
    <x v="0"/>
    <n v="0"/>
    <n v="0"/>
    <n v="0"/>
    <n v="0"/>
    <n v="0"/>
    <n v="0"/>
    <n v="0"/>
    <n v="0"/>
    <m/>
    <n v="51.8"/>
  </r>
  <r>
    <s v="USR-100635"/>
    <d v="2025-05-26T00:00:00"/>
    <x v="0"/>
    <x v="2"/>
    <x v="1"/>
    <x v="5"/>
    <x v="2"/>
    <n v="1"/>
    <n v="0"/>
    <n v="0"/>
    <n v="0"/>
    <n v="0"/>
    <n v="3"/>
    <n v="1"/>
    <n v="0"/>
    <m/>
    <n v="56"/>
  </r>
  <r>
    <s v="USR-100636"/>
    <d v="2025-01-14T00:00:00"/>
    <x v="0"/>
    <x v="1"/>
    <x v="1"/>
    <x v="1"/>
    <x v="1"/>
    <n v="0"/>
    <n v="0"/>
    <n v="0"/>
    <n v="0"/>
    <n v="0"/>
    <n v="0"/>
    <n v="0"/>
    <n v="0"/>
    <m/>
    <n v="52.5"/>
  </r>
  <r>
    <s v="USR-100637"/>
    <d v="2025-03-30T00:00:00"/>
    <x v="0"/>
    <x v="1"/>
    <x v="1"/>
    <x v="2"/>
    <x v="2"/>
    <n v="1"/>
    <n v="0"/>
    <n v="0"/>
    <n v="0"/>
    <n v="0"/>
    <n v="0"/>
    <n v="0"/>
    <n v="0"/>
    <m/>
    <n v="42.5"/>
  </r>
  <r>
    <s v="USR-100638"/>
    <d v="2025-05-12T00:00:00"/>
    <x v="0"/>
    <x v="2"/>
    <x v="0"/>
    <x v="0"/>
    <x v="1"/>
    <n v="1"/>
    <n v="1"/>
    <n v="1"/>
    <n v="0"/>
    <n v="0"/>
    <n v="0"/>
    <n v="0"/>
    <n v="0"/>
    <m/>
    <n v="65.3"/>
  </r>
  <r>
    <s v="USR-100639"/>
    <d v="2025-05-10T00:00:00"/>
    <x v="0"/>
    <x v="1"/>
    <x v="1"/>
    <x v="2"/>
    <x v="1"/>
    <n v="0"/>
    <n v="0"/>
    <n v="0"/>
    <n v="0"/>
    <n v="0"/>
    <n v="0"/>
    <n v="0"/>
    <n v="0"/>
    <m/>
    <n v="37.6"/>
  </r>
  <r>
    <s v="USR-100640"/>
    <d v="2025-04-09T00:00:00"/>
    <x v="0"/>
    <x v="2"/>
    <x v="1"/>
    <x v="4"/>
    <x v="0"/>
    <n v="0"/>
    <n v="0"/>
    <n v="0"/>
    <n v="0"/>
    <n v="0"/>
    <n v="0"/>
    <n v="0"/>
    <n v="0"/>
    <m/>
    <n v="57.8"/>
  </r>
  <r>
    <s v="USR-100641"/>
    <d v="2025-05-26T00:00:00"/>
    <x v="0"/>
    <x v="0"/>
    <x v="1"/>
    <x v="4"/>
    <x v="1"/>
    <n v="1"/>
    <n v="0"/>
    <n v="0"/>
    <n v="0"/>
    <n v="0"/>
    <n v="0"/>
    <n v="0"/>
    <n v="0"/>
    <m/>
    <n v="52.7"/>
  </r>
  <r>
    <s v="USR-100642"/>
    <d v="2025-02-12T00:00:00"/>
    <x v="0"/>
    <x v="0"/>
    <x v="1"/>
    <x v="1"/>
    <x v="1"/>
    <n v="1"/>
    <n v="0"/>
    <n v="0"/>
    <n v="0"/>
    <n v="0"/>
    <n v="0"/>
    <n v="0"/>
    <n v="0"/>
    <m/>
    <n v="51.7"/>
  </r>
  <r>
    <s v="USR-100643"/>
    <d v="2025-04-01T00:00:00"/>
    <x v="0"/>
    <x v="0"/>
    <x v="0"/>
    <x v="0"/>
    <x v="0"/>
    <n v="0"/>
    <n v="0"/>
    <n v="0"/>
    <n v="0"/>
    <n v="0"/>
    <n v="0"/>
    <n v="0"/>
    <n v="0"/>
    <m/>
    <n v="57"/>
  </r>
  <r>
    <s v="USR-100644"/>
    <d v="2025-01-18T00:00:00"/>
    <x v="0"/>
    <x v="3"/>
    <x v="0"/>
    <x v="1"/>
    <x v="0"/>
    <n v="0"/>
    <n v="0"/>
    <n v="0"/>
    <n v="0"/>
    <n v="0"/>
    <n v="0"/>
    <n v="0"/>
    <n v="0"/>
    <m/>
    <n v="39.5"/>
  </r>
  <r>
    <s v="USR-100645"/>
    <d v="2025-04-06T00:00:00"/>
    <x v="0"/>
    <x v="2"/>
    <x v="2"/>
    <x v="1"/>
    <x v="1"/>
    <n v="1"/>
    <n v="0"/>
    <n v="0"/>
    <n v="0"/>
    <n v="0"/>
    <n v="0"/>
    <n v="0"/>
    <n v="0"/>
    <m/>
    <n v="76.5"/>
  </r>
  <r>
    <s v="USR-100646"/>
    <d v="2025-04-17T00:00:00"/>
    <x v="0"/>
    <x v="2"/>
    <x v="1"/>
    <x v="1"/>
    <x v="1"/>
    <n v="1"/>
    <n v="0"/>
    <n v="0"/>
    <n v="0"/>
    <n v="0"/>
    <n v="0"/>
    <n v="0"/>
    <n v="0"/>
    <m/>
    <n v="32.4"/>
  </r>
  <r>
    <s v="USR-100647"/>
    <d v="2025-02-07T00:00:00"/>
    <x v="0"/>
    <x v="0"/>
    <x v="0"/>
    <x v="2"/>
    <x v="1"/>
    <n v="0"/>
    <n v="0"/>
    <n v="0"/>
    <n v="0"/>
    <n v="0"/>
    <n v="0"/>
    <n v="0"/>
    <n v="0"/>
    <m/>
    <n v="58.6"/>
  </r>
  <r>
    <s v="USR-100648"/>
    <d v="2025-03-04T00:00:00"/>
    <x v="0"/>
    <x v="2"/>
    <x v="1"/>
    <x v="1"/>
    <x v="0"/>
    <n v="1"/>
    <n v="0"/>
    <n v="0"/>
    <n v="0"/>
    <n v="0"/>
    <n v="0"/>
    <n v="0"/>
    <n v="0"/>
    <m/>
    <n v="78.599999999999994"/>
  </r>
  <r>
    <s v="USR-100649"/>
    <d v="2025-02-17T00:00:00"/>
    <x v="0"/>
    <x v="0"/>
    <x v="0"/>
    <x v="1"/>
    <x v="2"/>
    <n v="0"/>
    <n v="0"/>
    <n v="0"/>
    <n v="0"/>
    <n v="0"/>
    <n v="0"/>
    <n v="0"/>
    <n v="0"/>
    <m/>
    <n v="54.5"/>
  </r>
  <r>
    <s v="USR-100650"/>
    <d v="2025-05-06T00:00:00"/>
    <x v="0"/>
    <x v="3"/>
    <x v="1"/>
    <x v="3"/>
    <x v="1"/>
    <n v="1"/>
    <n v="0"/>
    <n v="0"/>
    <n v="0"/>
    <n v="0"/>
    <n v="0"/>
    <n v="0"/>
    <n v="0"/>
    <m/>
    <n v="57.6"/>
  </r>
  <r>
    <s v="USR-100651"/>
    <d v="2025-03-25T00:00:00"/>
    <x v="0"/>
    <x v="3"/>
    <x v="1"/>
    <x v="3"/>
    <x v="2"/>
    <n v="0"/>
    <n v="0"/>
    <n v="0"/>
    <n v="0"/>
    <n v="0"/>
    <n v="0"/>
    <n v="0"/>
    <n v="0"/>
    <m/>
    <n v="52.8"/>
  </r>
  <r>
    <s v="USR-100652"/>
    <d v="2025-03-04T00:00:00"/>
    <x v="0"/>
    <x v="1"/>
    <x v="1"/>
    <x v="0"/>
    <x v="2"/>
    <n v="1"/>
    <n v="0"/>
    <n v="0"/>
    <n v="0"/>
    <n v="0"/>
    <n v="0"/>
    <n v="0"/>
    <n v="0"/>
    <m/>
    <n v="52.9"/>
  </r>
  <r>
    <s v="USR-100653"/>
    <d v="2025-05-09T00:00:00"/>
    <x v="0"/>
    <x v="1"/>
    <x v="1"/>
    <x v="1"/>
    <x v="1"/>
    <n v="1"/>
    <n v="0"/>
    <n v="0"/>
    <n v="0"/>
    <n v="0"/>
    <n v="1"/>
    <n v="1"/>
    <n v="0"/>
    <m/>
    <n v="55.9"/>
  </r>
  <r>
    <s v="USR-100654"/>
    <d v="2025-05-17T00:00:00"/>
    <x v="0"/>
    <x v="1"/>
    <x v="1"/>
    <x v="3"/>
    <x v="2"/>
    <n v="1"/>
    <n v="0"/>
    <n v="0"/>
    <n v="0"/>
    <n v="0"/>
    <n v="0"/>
    <n v="0"/>
    <n v="0"/>
    <m/>
    <n v="74.2"/>
  </r>
  <r>
    <s v="USR-100655"/>
    <d v="2025-01-12T00:00:00"/>
    <x v="0"/>
    <x v="1"/>
    <x v="1"/>
    <x v="1"/>
    <x v="1"/>
    <n v="0"/>
    <n v="0"/>
    <n v="0"/>
    <n v="0"/>
    <n v="0"/>
    <n v="0"/>
    <n v="0"/>
    <n v="0"/>
    <m/>
    <n v="46.3"/>
  </r>
  <r>
    <s v="USR-100656"/>
    <d v="2025-03-12T00:00:00"/>
    <x v="0"/>
    <x v="1"/>
    <x v="1"/>
    <x v="1"/>
    <x v="2"/>
    <n v="1"/>
    <n v="0"/>
    <n v="0"/>
    <n v="0"/>
    <n v="0"/>
    <n v="0"/>
    <n v="0"/>
    <n v="0"/>
    <m/>
    <n v="62"/>
  </r>
  <r>
    <s v="USR-100657"/>
    <d v="2025-04-02T00:00:00"/>
    <x v="0"/>
    <x v="3"/>
    <x v="1"/>
    <x v="1"/>
    <x v="0"/>
    <n v="0"/>
    <n v="0"/>
    <n v="0"/>
    <n v="0"/>
    <n v="0"/>
    <n v="0"/>
    <n v="0"/>
    <n v="0"/>
    <m/>
    <n v="55.6"/>
  </r>
  <r>
    <s v="USR-100658"/>
    <d v="2025-01-13T00:00:00"/>
    <x v="0"/>
    <x v="3"/>
    <x v="1"/>
    <x v="1"/>
    <x v="0"/>
    <n v="1"/>
    <n v="0"/>
    <n v="0"/>
    <n v="0"/>
    <n v="0"/>
    <n v="0"/>
    <n v="0"/>
    <n v="0"/>
    <m/>
    <n v="62.8"/>
  </r>
  <r>
    <s v="USR-100659"/>
    <d v="2025-03-07T00:00:00"/>
    <x v="0"/>
    <x v="2"/>
    <x v="1"/>
    <x v="3"/>
    <x v="1"/>
    <n v="0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x v="1"/>
    <n v="1"/>
    <n v="1"/>
    <n v="1"/>
    <n v="1"/>
    <n v="347.52"/>
    <n v="0"/>
    <n v="0"/>
    <n v="0"/>
    <n v="2"/>
    <n v="57.2"/>
  </r>
  <r>
    <s v="USR-100661"/>
    <d v="2025-01-07T00:00:00"/>
    <x v="0"/>
    <x v="3"/>
    <x v="1"/>
    <x v="2"/>
    <x v="1"/>
    <n v="1"/>
    <n v="0"/>
    <n v="0"/>
    <n v="0"/>
    <n v="0"/>
    <n v="0"/>
    <n v="0"/>
    <n v="0"/>
    <m/>
    <n v="67.900000000000006"/>
  </r>
  <r>
    <s v="USR-100662"/>
    <d v="2025-04-23T00:00:00"/>
    <x v="0"/>
    <x v="3"/>
    <x v="1"/>
    <x v="3"/>
    <x v="1"/>
    <n v="0"/>
    <n v="0"/>
    <n v="0"/>
    <n v="0"/>
    <n v="0"/>
    <n v="0"/>
    <n v="0"/>
    <n v="0"/>
    <m/>
    <n v="50.1"/>
  </r>
  <r>
    <s v="USR-100663"/>
    <d v="2025-05-26T00:00:00"/>
    <x v="0"/>
    <x v="0"/>
    <x v="1"/>
    <x v="2"/>
    <x v="0"/>
    <n v="0"/>
    <n v="0"/>
    <n v="0"/>
    <n v="0"/>
    <n v="0"/>
    <n v="0"/>
    <n v="0"/>
    <n v="0"/>
    <m/>
    <n v="67.8"/>
  </r>
  <r>
    <s v="USR-100664"/>
    <d v="2025-03-17T00:00:00"/>
    <x v="0"/>
    <x v="0"/>
    <x v="0"/>
    <x v="4"/>
    <x v="0"/>
    <n v="1"/>
    <n v="1"/>
    <n v="1"/>
    <n v="0"/>
    <n v="0"/>
    <n v="0"/>
    <n v="0"/>
    <n v="0"/>
    <m/>
    <n v="60.8"/>
  </r>
  <r>
    <s v="USR-100665"/>
    <d v="2025-05-17T00:00:00"/>
    <x v="0"/>
    <x v="0"/>
    <x v="0"/>
    <x v="2"/>
    <x v="0"/>
    <n v="1"/>
    <n v="0"/>
    <n v="0"/>
    <n v="0"/>
    <n v="0"/>
    <n v="3"/>
    <n v="1"/>
    <n v="0"/>
    <m/>
    <n v="33.700000000000003"/>
  </r>
  <r>
    <s v="USR-100666"/>
    <d v="2025-02-21T00:00:00"/>
    <x v="0"/>
    <x v="0"/>
    <x v="1"/>
    <x v="2"/>
    <x v="0"/>
    <n v="0"/>
    <n v="0"/>
    <n v="0"/>
    <n v="0"/>
    <n v="0"/>
    <n v="0"/>
    <n v="0"/>
    <n v="0"/>
    <m/>
    <n v="45.2"/>
  </r>
  <r>
    <s v="USR-100667"/>
    <d v="2025-02-25T00:00:00"/>
    <x v="0"/>
    <x v="2"/>
    <x v="0"/>
    <x v="2"/>
    <x v="2"/>
    <n v="0"/>
    <n v="0"/>
    <n v="0"/>
    <n v="0"/>
    <n v="0"/>
    <n v="0"/>
    <n v="0"/>
    <n v="0"/>
    <m/>
    <n v="48.2"/>
  </r>
  <r>
    <s v="USR-100668"/>
    <d v="2025-01-30T00:00:00"/>
    <x v="0"/>
    <x v="3"/>
    <x v="1"/>
    <x v="4"/>
    <x v="1"/>
    <n v="1"/>
    <n v="1"/>
    <n v="0"/>
    <n v="0"/>
    <n v="0"/>
    <n v="1"/>
    <n v="1"/>
    <n v="0"/>
    <m/>
    <n v="44.8"/>
  </r>
  <r>
    <s v="USR-100669"/>
    <d v="2025-02-17T00:00:00"/>
    <x v="0"/>
    <x v="0"/>
    <x v="2"/>
    <x v="4"/>
    <x v="0"/>
    <n v="0"/>
    <n v="0"/>
    <n v="0"/>
    <n v="0"/>
    <n v="0"/>
    <n v="0"/>
    <n v="0"/>
    <n v="0"/>
    <m/>
    <n v="52.1"/>
  </r>
  <r>
    <s v="USR-100670"/>
    <d v="2025-05-17T00:00:00"/>
    <x v="0"/>
    <x v="0"/>
    <x v="0"/>
    <x v="2"/>
    <x v="0"/>
    <n v="1"/>
    <n v="0"/>
    <n v="0"/>
    <n v="0"/>
    <n v="0"/>
    <n v="0"/>
    <n v="0"/>
    <n v="0"/>
    <m/>
    <n v="30.7"/>
  </r>
  <r>
    <s v="USR-100671"/>
    <d v="2025-04-30T00:00:00"/>
    <x v="0"/>
    <x v="2"/>
    <x v="0"/>
    <x v="2"/>
    <x v="1"/>
    <n v="1"/>
    <n v="0"/>
    <n v="0"/>
    <n v="0"/>
    <n v="0"/>
    <n v="0"/>
    <n v="0"/>
    <n v="0"/>
    <m/>
    <n v="58.4"/>
  </r>
  <r>
    <s v="USR-100672"/>
    <d v="2025-03-22T00:00:00"/>
    <x v="0"/>
    <x v="1"/>
    <x v="1"/>
    <x v="3"/>
    <x v="1"/>
    <n v="1"/>
    <n v="1"/>
    <n v="0"/>
    <n v="0"/>
    <n v="0"/>
    <n v="0"/>
    <n v="0"/>
    <n v="0"/>
    <m/>
    <n v="52.6"/>
  </r>
  <r>
    <s v="USR-100673"/>
    <d v="2025-01-10T00:00:00"/>
    <x v="0"/>
    <x v="1"/>
    <x v="3"/>
    <x v="2"/>
    <x v="1"/>
    <n v="1"/>
    <n v="0"/>
    <n v="0"/>
    <n v="0"/>
    <n v="0"/>
    <n v="1"/>
    <n v="1"/>
    <n v="0"/>
    <m/>
    <n v="19.100000000000001"/>
  </r>
  <r>
    <s v="USR-100674"/>
    <d v="2025-03-21T00:00:00"/>
    <x v="0"/>
    <x v="3"/>
    <x v="3"/>
    <x v="2"/>
    <x v="1"/>
    <n v="1"/>
    <n v="0"/>
    <n v="0"/>
    <n v="0"/>
    <n v="0"/>
    <n v="0"/>
    <n v="0"/>
    <n v="0"/>
    <m/>
    <n v="36.799999999999997"/>
  </r>
  <r>
    <s v="USR-100675"/>
    <d v="2025-05-12T00:00:00"/>
    <x v="0"/>
    <x v="0"/>
    <x v="0"/>
    <x v="2"/>
    <x v="0"/>
    <n v="0"/>
    <n v="0"/>
    <n v="0"/>
    <n v="0"/>
    <n v="0"/>
    <n v="0"/>
    <n v="0"/>
    <n v="0"/>
    <m/>
    <n v="68.5"/>
  </r>
  <r>
    <s v="USR-100676"/>
    <d v="2025-05-24T00:00:00"/>
    <x v="0"/>
    <x v="1"/>
    <x v="1"/>
    <x v="2"/>
    <x v="1"/>
    <n v="1"/>
    <n v="1"/>
    <n v="1"/>
    <n v="0"/>
    <n v="0"/>
    <n v="0"/>
    <n v="0"/>
    <n v="0"/>
    <m/>
    <n v="40.1"/>
  </r>
  <r>
    <s v="USR-100677"/>
    <d v="2025-05-03T00:00:00"/>
    <x v="0"/>
    <x v="1"/>
    <x v="2"/>
    <x v="1"/>
    <x v="1"/>
    <n v="1"/>
    <n v="0"/>
    <n v="0"/>
    <n v="0"/>
    <n v="0"/>
    <n v="0"/>
    <n v="0"/>
    <n v="0"/>
    <m/>
    <n v="47.5"/>
  </r>
  <r>
    <s v="USR-100678"/>
    <d v="2025-01-14T00:00:00"/>
    <x v="0"/>
    <x v="3"/>
    <x v="1"/>
    <x v="1"/>
    <x v="0"/>
    <n v="1"/>
    <n v="0"/>
    <n v="0"/>
    <n v="0"/>
    <n v="0"/>
    <n v="0"/>
    <n v="0"/>
    <n v="0"/>
    <m/>
    <n v="77.099999999999994"/>
  </r>
  <r>
    <s v="USR-100679"/>
    <d v="2025-03-27T00:00:00"/>
    <x v="0"/>
    <x v="1"/>
    <x v="1"/>
    <x v="4"/>
    <x v="0"/>
    <n v="1"/>
    <n v="0"/>
    <n v="0"/>
    <n v="0"/>
    <n v="0"/>
    <n v="0"/>
    <n v="0"/>
    <n v="0"/>
    <m/>
    <n v="75.900000000000006"/>
  </r>
  <r>
    <s v="USR-100680"/>
    <d v="2025-02-28T00:00:00"/>
    <x v="0"/>
    <x v="0"/>
    <x v="0"/>
    <x v="3"/>
    <x v="2"/>
    <n v="0"/>
    <n v="0"/>
    <n v="0"/>
    <n v="0"/>
    <n v="0"/>
    <n v="1"/>
    <n v="1"/>
    <n v="0"/>
    <m/>
    <n v="52"/>
  </r>
  <r>
    <s v="USR-100681"/>
    <d v="2025-05-12T00:00:00"/>
    <x v="0"/>
    <x v="1"/>
    <x v="0"/>
    <x v="3"/>
    <x v="2"/>
    <n v="1"/>
    <n v="1"/>
    <n v="1"/>
    <n v="0"/>
    <n v="0"/>
    <n v="0"/>
    <n v="0"/>
    <n v="0"/>
    <m/>
    <n v="64.900000000000006"/>
  </r>
  <r>
    <s v="USR-100682"/>
    <d v="2025-03-14T00:00:00"/>
    <x v="0"/>
    <x v="0"/>
    <x v="1"/>
    <x v="1"/>
    <x v="1"/>
    <n v="1"/>
    <n v="0"/>
    <n v="0"/>
    <n v="0"/>
    <n v="0"/>
    <n v="0"/>
    <n v="0"/>
    <n v="0"/>
    <m/>
    <n v="48.2"/>
  </r>
  <r>
    <s v="USR-100683"/>
    <d v="2025-05-20T00:00:00"/>
    <x v="0"/>
    <x v="2"/>
    <x v="1"/>
    <x v="1"/>
    <x v="0"/>
    <n v="0"/>
    <n v="0"/>
    <n v="0"/>
    <n v="0"/>
    <n v="0"/>
    <n v="0"/>
    <n v="0"/>
    <n v="0"/>
    <m/>
    <n v="42.1"/>
  </r>
  <r>
    <s v="USR-100684"/>
    <d v="2025-02-24T00:00:00"/>
    <x v="0"/>
    <x v="3"/>
    <x v="0"/>
    <x v="3"/>
    <x v="1"/>
    <n v="0"/>
    <n v="0"/>
    <n v="0"/>
    <n v="0"/>
    <n v="0"/>
    <n v="0"/>
    <n v="0"/>
    <n v="0"/>
    <m/>
    <n v="27.6"/>
  </r>
  <r>
    <s v="USR-100685"/>
    <d v="2025-02-13T00:00:00"/>
    <x v="0"/>
    <x v="1"/>
    <x v="1"/>
    <x v="1"/>
    <x v="2"/>
    <n v="1"/>
    <n v="0"/>
    <n v="0"/>
    <n v="0"/>
    <n v="0"/>
    <n v="1"/>
    <n v="1"/>
    <n v="0"/>
    <m/>
    <n v="68.5"/>
  </r>
  <r>
    <s v="USR-100686"/>
    <d v="2025-02-06T00:00:00"/>
    <x v="0"/>
    <x v="3"/>
    <x v="0"/>
    <x v="1"/>
    <x v="1"/>
    <n v="1"/>
    <n v="1"/>
    <n v="1"/>
    <n v="0"/>
    <n v="0"/>
    <n v="0"/>
    <n v="0"/>
    <n v="0"/>
    <m/>
    <n v="59.2"/>
  </r>
  <r>
    <s v="USR-100687"/>
    <d v="2025-03-02T00:00:00"/>
    <x v="0"/>
    <x v="0"/>
    <x v="1"/>
    <x v="4"/>
    <x v="0"/>
    <n v="1"/>
    <n v="0"/>
    <n v="0"/>
    <n v="0"/>
    <n v="0"/>
    <n v="0"/>
    <n v="0"/>
    <n v="0"/>
    <m/>
    <n v="63.3"/>
  </r>
  <r>
    <s v="USR-100688"/>
    <d v="2025-04-28T00:00:00"/>
    <x v="0"/>
    <x v="2"/>
    <x v="0"/>
    <x v="2"/>
    <x v="1"/>
    <n v="0"/>
    <n v="0"/>
    <n v="0"/>
    <n v="0"/>
    <n v="0"/>
    <n v="0"/>
    <n v="0"/>
    <n v="0"/>
    <m/>
    <n v="55"/>
  </r>
  <r>
    <s v="USR-100689"/>
    <d v="2025-05-27T00:00:00"/>
    <x v="0"/>
    <x v="0"/>
    <x v="0"/>
    <x v="5"/>
    <x v="2"/>
    <n v="1"/>
    <n v="0"/>
    <n v="0"/>
    <n v="0"/>
    <n v="0"/>
    <n v="0"/>
    <n v="0"/>
    <n v="0"/>
    <m/>
    <n v="64.8"/>
  </r>
  <r>
    <s v="USR-100690"/>
    <d v="2025-04-07T00:00:00"/>
    <x v="0"/>
    <x v="3"/>
    <x v="0"/>
    <x v="1"/>
    <x v="0"/>
    <n v="0"/>
    <n v="0"/>
    <n v="0"/>
    <n v="0"/>
    <n v="0"/>
    <n v="2"/>
    <n v="1"/>
    <n v="0"/>
    <m/>
    <n v="41.8"/>
  </r>
  <r>
    <s v="USR-100691"/>
    <d v="2025-04-14T00:00:00"/>
    <x v="1"/>
    <x v="2"/>
    <x v="0"/>
    <x v="4"/>
    <x v="0"/>
    <n v="1"/>
    <n v="0"/>
    <n v="0"/>
    <n v="0"/>
    <n v="0"/>
    <n v="0"/>
    <n v="0"/>
    <n v="0"/>
    <m/>
    <n v="73.2"/>
  </r>
  <r>
    <s v="USR-100692"/>
    <d v="2025-05-09T00:00:00"/>
    <x v="1"/>
    <x v="2"/>
    <x v="0"/>
    <x v="1"/>
    <x v="0"/>
    <n v="1"/>
    <n v="1"/>
    <n v="1"/>
    <n v="0"/>
    <n v="0"/>
    <n v="3"/>
    <n v="1"/>
    <n v="0"/>
    <m/>
    <n v="55.7"/>
  </r>
  <r>
    <s v="USR-100693"/>
    <d v="2025-03-21T00:00:00"/>
    <x v="1"/>
    <x v="0"/>
    <x v="1"/>
    <x v="1"/>
    <x v="1"/>
    <n v="1"/>
    <n v="1"/>
    <n v="1"/>
    <n v="0"/>
    <n v="0"/>
    <n v="0"/>
    <n v="0"/>
    <n v="0"/>
    <m/>
    <n v="82.8"/>
  </r>
  <r>
    <s v="USR-100694"/>
    <d v="2025-03-27T00:00:00"/>
    <x v="1"/>
    <x v="0"/>
    <x v="0"/>
    <x v="4"/>
    <x v="1"/>
    <n v="1"/>
    <n v="0"/>
    <n v="0"/>
    <n v="0"/>
    <n v="0"/>
    <n v="0"/>
    <n v="0"/>
    <n v="0"/>
    <m/>
    <m/>
  </r>
  <r>
    <s v="USR-100695"/>
    <d v="2025-01-21T00:00:00"/>
    <x v="1"/>
    <x v="3"/>
    <x v="1"/>
    <x v="2"/>
    <x v="1"/>
    <n v="0"/>
    <n v="0"/>
    <n v="0"/>
    <n v="0"/>
    <n v="0"/>
    <n v="0"/>
    <n v="0"/>
    <n v="0"/>
    <m/>
    <n v="34.4"/>
  </r>
  <r>
    <s v="USR-100696"/>
    <d v="2025-03-19T00:00:00"/>
    <x v="1"/>
    <x v="2"/>
    <x v="0"/>
    <x v="0"/>
    <x v="1"/>
    <n v="1"/>
    <n v="0"/>
    <n v="0"/>
    <n v="0"/>
    <n v="0"/>
    <n v="0"/>
    <n v="0"/>
    <n v="0"/>
    <m/>
    <n v="45.2"/>
  </r>
  <r>
    <s v="USR-100697"/>
    <d v="2025-05-27T00:00:00"/>
    <x v="1"/>
    <x v="0"/>
    <x v="1"/>
    <x v="1"/>
    <x v="0"/>
    <n v="1"/>
    <n v="0"/>
    <n v="0"/>
    <n v="0"/>
    <n v="0"/>
    <n v="0"/>
    <n v="0"/>
    <n v="0"/>
    <m/>
    <n v="71.599999999999994"/>
  </r>
  <r>
    <s v="USR-100698"/>
    <d v="2025-01-01T00:00:00"/>
    <x v="1"/>
    <x v="0"/>
    <x v="1"/>
    <x v="4"/>
    <x v="1"/>
    <n v="1"/>
    <n v="1"/>
    <n v="1"/>
    <n v="0"/>
    <n v="0"/>
    <n v="0"/>
    <n v="0"/>
    <n v="0"/>
    <m/>
    <n v="69.099999999999994"/>
  </r>
  <r>
    <s v="USR-100699"/>
    <d v="2025-03-29T00:00:00"/>
    <x v="1"/>
    <x v="1"/>
    <x v="0"/>
    <x v="2"/>
    <x v="2"/>
    <n v="1"/>
    <n v="0"/>
    <n v="0"/>
    <n v="0"/>
    <n v="0"/>
    <n v="1"/>
    <n v="1"/>
    <n v="0"/>
    <m/>
    <n v="37.700000000000003"/>
  </r>
  <r>
    <s v="USR-100700"/>
    <d v="2025-03-17T00:00:00"/>
    <x v="1"/>
    <x v="1"/>
    <x v="0"/>
    <x v="1"/>
    <x v="0"/>
    <n v="1"/>
    <n v="0"/>
    <n v="0"/>
    <n v="0"/>
    <n v="0"/>
    <n v="1"/>
    <n v="1"/>
    <n v="0"/>
    <m/>
    <n v="60.8"/>
  </r>
  <r>
    <s v="USR-100701"/>
    <d v="2025-05-05T00:00:00"/>
    <x v="1"/>
    <x v="0"/>
    <x v="1"/>
    <x v="1"/>
    <x v="1"/>
    <n v="1"/>
    <n v="1"/>
    <n v="1"/>
    <n v="1"/>
    <n v="444.13"/>
    <n v="0"/>
    <n v="0"/>
    <n v="0"/>
    <n v="10"/>
    <n v="80.7"/>
  </r>
  <r>
    <s v="USR-100702"/>
    <d v="2025-05-04T00:00:00"/>
    <x v="1"/>
    <x v="3"/>
    <x v="1"/>
    <x v="4"/>
    <x v="1"/>
    <n v="1"/>
    <n v="0"/>
    <n v="0"/>
    <n v="0"/>
    <n v="0"/>
    <n v="0"/>
    <n v="0"/>
    <n v="0"/>
    <m/>
    <n v="69.2"/>
  </r>
  <r>
    <s v="USR-100703"/>
    <d v="2025-03-25T00:00:00"/>
    <x v="1"/>
    <x v="0"/>
    <x v="1"/>
    <x v="4"/>
    <x v="2"/>
    <n v="0"/>
    <n v="0"/>
    <n v="0"/>
    <n v="0"/>
    <n v="0"/>
    <n v="3"/>
    <n v="1"/>
    <n v="0"/>
    <m/>
    <n v="55"/>
  </r>
  <r>
    <s v="USR-100704"/>
    <d v="2025-04-17T00:00:00"/>
    <x v="1"/>
    <x v="1"/>
    <x v="1"/>
    <x v="0"/>
    <x v="1"/>
    <n v="0"/>
    <n v="0"/>
    <n v="0"/>
    <n v="0"/>
    <n v="0"/>
    <n v="1"/>
    <n v="1"/>
    <n v="0"/>
    <m/>
    <n v="73.599999999999994"/>
  </r>
  <r>
    <s v="USR-100705"/>
    <d v="2025-05-23T00:00:00"/>
    <x v="1"/>
    <x v="3"/>
    <x v="1"/>
    <x v="3"/>
    <x v="0"/>
    <n v="1"/>
    <n v="1"/>
    <n v="1"/>
    <n v="0"/>
    <n v="0"/>
    <n v="1"/>
    <n v="1"/>
    <n v="0"/>
    <m/>
    <n v="47.3"/>
  </r>
  <r>
    <s v="USR-100706"/>
    <d v="2025-01-13T00:00:00"/>
    <x v="1"/>
    <x v="0"/>
    <x v="1"/>
    <x v="1"/>
    <x v="0"/>
    <n v="0"/>
    <n v="0"/>
    <n v="0"/>
    <n v="0"/>
    <n v="0"/>
    <n v="0"/>
    <n v="0"/>
    <n v="0"/>
    <m/>
    <n v="43.6"/>
  </r>
  <r>
    <s v="USR-100707"/>
    <d v="2025-01-29T00:00:00"/>
    <x v="1"/>
    <x v="0"/>
    <x v="0"/>
    <x v="1"/>
    <x v="0"/>
    <n v="1"/>
    <n v="0"/>
    <n v="0"/>
    <n v="0"/>
    <n v="0"/>
    <n v="0"/>
    <n v="0"/>
    <n v="0"/>
    <m/>
    <m/>
  </r>
  <r>
    <s v="USR-100708"/>
    <d v="2025-05-11T00:00:00"/>
    <x v="1"/>
    <x v="3"/>
    <x v="1"/>
    <x v="0"/>
    <x v="1"/>
    <n v="0"/>
    <n v="0"/>
    <n v="0"/>
    <n v="0"/>
    <n v="0"/>
    <n v="0"/>
    <n v="0"/>
    <n v="0"/>
    <m/>
    <n v="55.2"/>
  </r>
  <r>
    <s v="USR-100709"/>
    <d v="2025-04-22T00:00:00"/>
    <x v="1"/>
    <x v="3"/>
    <x v="1"/>
    <x v="1"/>
    <x v="0"/>
    <n v="1"/>
    <n v="0"/>
    <n v="0"/>
    <n v="0"/>
    <n v="0"/>
    <n v="0"/>
    <n v="0"/>
    <n v="0"/>
    <m/>
    <n v="49.4"/>
  </r>
  <r>
    <s v="USR-100710"/>
    <d v="2025-03-03T00:00:00"/>
    <x v="1"/>
    <x v="3"/>
    <x v="1"/>
    <x v="4"/>
    <x v="1"/>
    <n v="1"/>
    <n v="1"/>
    <n v="1"/>
    <n v="0"/>
    <n v="0"/>
    <n v="1"/>
    <n v="1"/>
    <n v="0"/>
    <m/>
    <n v="60.1"/>
  </r>
  <r>
    <s v="USR-100711"/>
    <d v="2025-03-18T00:00:00"/>
    <x v="1"/>
    <x v="0"/>
    <x v="1"/>
    <x v="3"/>
    <x v="1"/>
    <n v="1"/>
    <n v="0"/>
    <n v="0"/>
    <n v="0"/>
    <n v="0"/>
    <n v="0"/>
    <n v="0"/>
    <n v="0"/>
    <m/>
    <n v="55.9"/>
  </r>
  <r>
    <s v="USR-100712"/>
    <d v="2025-04-05T00:00:00"/>
    <x v="1"/>
    <x v="0"/>
    <x v="1"/>
    <x v="1"/>
    <x v="0"/>
    <n v="1"/>
    <n v="0"/>
    <n v="0"/>
    <n v="0"/>
    <n v="0"/>
    <n v="0"/>
    <n v="0"/>
    <n v="0"/>
    <m/>
    <n v="51.5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0"/>
    <n v="11"/>
    <n v="57.9"/>
  </r>
  <r>
    <s v="USR-100714"/>
    <d v="2025-04-20T00:00:00"/>
    <x v="1"/>
    <x v="3"/>
    <x v="1"/>
    <x v="3"/>
    <x v="1"/>
    <n v="1"/>
    <n v="1"/>
    <n v="1"/>
    <n v="1"/>
    <n v="277.18"/>
    <n v="2"/>
    <n v="1"/>
    <n v="0"/>
    <n v="8"/>
    <n v="59.2"/>
  </r>
  <r>
    <s v="USR-100715"/>
    <d v="2025-02-15T00:00:00"/>
    <x v="1"/>
    <x v="3"/>
    <x v="1"/>
    <x v="1"/>
    <x v="1"/>
    <n v="0"/>
    <n v="0"/>
    <n v="0"/>
    <n v="0"/>
    <n v="0"/>
    <n v="0"/>
    <n v="0"/>
    <n v="0"/>
    <m/>
    <n v="64.2"/>
  </r>
  <r>
    <s v="USR-100716"/>
    <d v="2025-01-21T00:00:00"/>
    <x v="1"/>
    <x v="3"/>
    <x v="1"/>
    <x v="1"/>
    <x v="1"/>
    <n v="1"/>
    <n v="0"/>
    <n v="0"/>
    <n v="0"/>
    <n v="0"/>
    <n v="0"/>
    <n v="0"/>
    <n v="0"/>
    <m/>
    <n v="68.8"/>
  </r>
  <r>
    <s v="USR-100717"/>
    <d v="2025-05-23T00:00:00"/>
    <x v="1"/>
    <x v="0"/>
    <x v="1"/>
    <x v="2"/>
    <x v="2"/>
    <n v="1"/>
    <n v="1"/>
    <n v="1"/>
    <n v="0"/>
    <n v="0"/>
    <n v="0"/>
    <n v="0"/>
    <n v="0"/>
    <m/>
    <n v="77.900000000000006"/>
  </r>
  <r>
    <s v="USR-100718"/>
    <d v="2025-01-22T00:00:00"/>
    <x v="1"/>
    <x v="1"/>
    <x v="1"/>
    <x v="2"/>
    <x v="0"/>
    <n v="0"/>
    <n v="0"/>
    <n v="0"/>
    <n v="0"/>
    <n v="0"/>
    <n v="0"/>
    <n v="0"/>
    <n v="0"/>
    <m/>
    <n v="92.1"/>
  </r>
  <r>
    <s v="USR-100719"/>
    <d v="2025-04-24T00:00:00"/>
    <x v="1"/>
    <x v="1"/>
    <x v="1"/>
    <x v="2"/>
    <x v="2"/>
    <n v="0"/>
    <n v="0"/>
    <n v="0"/>
    <n v="0"/>
    <n v="0"/>
    <n v="0"/>
    <n v="0"/>
    <n v="0"/>
    <m/>
    <n v="63.6"/>
  </r>
  <r>
    <s v="USR-100720"/>
    <d v="2025-01-17T00:00:00"/>
    <x v="1"/>
    <x v="1"/>
    <x v="0"/>
    <x v="0"/>
    <x v="1"/>
    <n v="0"/>
    <n v="0"/>
    <n v="0"/>
    <n v="0"/>
    <n v="0"/>
    <n v="2"/>
    <n v="1"/>
    <n v="0"/>
    <m/>
    <n v="61.6"/>
  </r>
  <r>
    <s v="USR-100721"/>
    <d v="2025-01-22T00:00:00"/>
    <x v="1"/>
    <x v="2"/>
    <x v="1"/>
    <x v="3"/>
    <x v="0"/>
    <n v="1"/>
    <n v="1"/>
    <n v="0"/>
    <n v="0"/>
    <n v="0"/>
    <n v="0"/>
    <n v="0"/>
    <n v="0"/>
    <m/>
    <n v="82.3"/>
  </r>
  <r>
    <s v="USR-100722"/>
    <d v="2025-05-04T00:00:00"/>
    <x v="1"/>
    <x v="2"/>
    <x v="0"/>
    <x v="2"/>
    <x v="1"/>
    <n v="1"/>
    <n v="0"/>
    <n v="0"/>
    <n v="0"/>
    <n v="0"/>
    <n v="0"/>
    <n v="0"/>
    <n v="0"/>
    <m/>
    <n v="79.3"/>
  </r>
  <r>
    <s v="USR-100723"/>
    <d v="2025-03-13T00:00:00"/>
    <x v="1"/>
    <x v="3"/>
    <x v="1"/>
    <x v="5"/>
    <x v="1"/>
    <n v="0"/>
    <n v="0"/>
    <n v="0"/>
    <n v="0"/>
    <n v="0"/>
    <n v="0"/>
    <n v="0"/>
    <n v="0"/>
    <m/>
    <n v="57.7"/>
  </r>
  <r>
    <s v="USR-100724"/>
    <d v="2025-01-02T00:00:00"/>
    <x v="1"/>
    <x v="0"/>
    <x v="1"/>
    <x v="1"/>
    <x v="0"/>
    <n v="1"/>
    <n v="0"/>
    <n v="0"/>
    <n v="0"/>
    <n v="0"/>
    <n v="0"/>
    <n v="0"/>
    <n v="0"/>
    <m/>
    <n v="63.1"/>
  </r>
  <r>
    <s v="USR-100725"/>
    <d v="2025-01-13T00:00:00"/>
    <x v="1"/>
    <x v="2"/>
    <x v="1"/>
    <x v="2"/>
    <x v="0"/>
    <n v="0"/>
    <n v="0"/>
    <n v="0"/>
    <n v="0"/>
    <n v="0"/>
    <n v="0"/>
    <n v="0"/>
    <n v="0"/>
    <m/>
    <n v="72.3"/>
  </r>
  <r>
    <s v="USR-100726"/>
    <d v="2025-02-09T00:00:00"/>
    <x v="1"/>
    <x v="2"/>
    <x v="1"/>
    <x v="4"/>
    <x v="1"/>
    <n v="1"/>
    <n v="1"/>
    <n v="1"/>
    <n v="0"/>
    <n v="0"/>
    <n v="0"/>
    <n v="0"/>
    <n v="0"/>
    <m/>
    <n v="78"/>
  </r>
  <r>
    <s v="USR-100727"/>
    <d v="2025-04-09T00:00:00"/>
    <x v="1"/>
    <x v="2"/>
    <x v="0"/>
    <x v="4"/>
    <x v="1"/>
    <n v="1"/>
    <n v="1"/>
    <n v="0"/>
    <n v="0"/>
    <n v="0"/>
    <n v="2"/>
    <n v="1"/>
    <n v="0"/>
    <m/>
    <n v="59.1"/>
  </r>
  <r>
    <s v="USR-100728"/>
    <d v="2025-01-02T00:00:00"/>
    <x v="1"/>
    <x v="3"/>
    <x v="1"/>
    <x v="2"/>
    <x v="1"/>
    <n v="1"/>
    <n v="1"/>
    <n v="1"/>
    <n v="1"/>
    <n v="604.09"/>
    <n v="0"/>
    <n v="0"/>
    <n v="0"/>
    <n v="7"/>
    <n v="47.1"/>
  </r>
  <r>
    <s v="USR-100729"/>
    <d v="2025-02-04T00:00:00"/>
    <x v="1"/>
    <x v="3"/>
    <x v="1"/>
    <x v="5"/>
    <x v="2"/>
    <n v="1"/>
    <n v="0"/>
    <n v="0"/>
    <n v="0"/>
    <n v="0"/>
    <n v="0"/>
    <n v="0"/>
    <n v="0"/>
    <m/>
    <n v="64.900000000000006"/>
  </r>
  <r>
    <s v="USR-100730"/>
    <d v="2025-02-19T00:00:00"/>
    <x v="1"/>
    <x v="3"/>
    <x v="2"/>
    <x v="2"/>
    <x v="1"/>
    <n v="0"/>
    <n v="0"/>
    <n v="0"/>
    <n v="0"/>
    <n v="0"/>
    <n v="0"/>
    <n v="0"/>
    <n v="0"/>
    <m/>
    <n v="67.3"/>
  </r>
  <r>
    <s v="USR-100731"/>
    <d v="2025-04-01T00:00:00"/>
    <x v="1"/>
    <x v="2"/>
    <x v="1"/>
    <x v="2"/>
    <x v="0"/>
    <n v="1"/>
    <n v="0"/>
    <n v="0"/>
    <n v="0"/>
    <n v="0"/>
    <n v="2"/>
    <n v="1"/>
    <n v="0"/>
    <m/>
    <n v="52.9"/>
  </r>
  <r>
    <s v="USR-100732"/>
    <d v="2025-01-29T00:00:00"/>
    <x v="1"/>
    <x v="0"/>
    <x v="1"/>
    <x v="3"/>
    <x v="1"/>
    <n v="1"/>
    <n v="1"/>
    <n v="1"/>
    <n v="1"/>
    <n v="442.37"/>
    <n v="1"/>
    <n v="1"/>
    <n v="0"/>
    <n v="4"/>
    <n v="69.900000000000006"/>
  </r>
  <r>
    <s v="USR-100733"/>
    <d v="2025-05-18T00:00:00"/>
    <x v="1"/>
    <x v="0"/>
    <x v="1"/>
    <x v="3"/>
    <x v="0"/>
    <n v="1"/>
    <n v="1"/>
    <n v="1"/>
    <n v="0"/>
    <n v="0"/>
    <n v="0"/>
    <n v="0"/>
    <n v="0"/>
    <m/>
    <n v="78.900000000000006"/>
  </r>
  <r>
    <s v="USR-100734"/>
    <d v="2025-04-15T00:00:00"/>
    <x v="1"/>
    <x v="2"/>
    <x v="0"/>
    <x v="4"/>
    <x v="2"/>
    <n v="1"/>
    <n v="1"/>
    <n v="0"/>
    <n v="0"/>
    <n v="0"/>
    <n v="0"/>
    <n v="0"/>
    <n v="0"/>
    <m/>
    <n v="83.3"/>
  </r>
  <r>
    <s v="USR-100735"/>
    <d v="2025-03-28T00:00:00"/>
    <x v="1"/>
    <x v="2"/>
    <x v="0"/>
    <x v="0"/>
    <x v="1"/>
    <n v="1"/>
    <n v="0"/>
    <n v="0"/>
    <n v="0"/>
    <n v="0"/>
    <n v="1"/>
    <n v="1"/>
    <n v="0"/>
    <m/>
    <n v="24.5"/>
  </r>
  <r>
    <s v="USR-100736"/>
    <d v="2025-04-01T00:00:00"/>
    <x v="1"/>
    <x v="1"/>
    <x v="1"/>
    <x v="2"/>
    <x v="0"/>
    <n v="1"/>
    <n v="1"/>
    <n v="0"/>
    <n v="0"/>
    <n v="0"/>
    <n v="1"/>
    <n v="1"/>
    <n v="0"/>
    <m/>
    <n v="56.9"/>
  </r>
  <r>
    <s v="USR-100737"/>
    <d v="2025-02-11T00:00:00"/>
    <x v="1"/>
    <x v="1"/>
    <x v="1"/>
    <x v="4"/>
    <x v="0"/>
    <n v="1"/>
    <n v="0"/>
    <n v="0"/>
    <n v="0"/>
    <n v="0"/>
    <n v="0"/>
    <n v="0"/>
    <n v="0"/>
    <m/>
    <n v="69.900000000000006"/>
  </r>
  <r>
    <s v="USR-100738"/>
    <d v="2025-03-04T00:00:00"/>
    <x v="1"/>
    <x v="3"/>
    <x v="1"/>
    <x v="1"/>
    <x v="1"/>
    <n v="1"/>
    <n v="1"/>
    <n v="1"/>
    <n v="0"/>
    <n v="0"/>
    <n v="0"/>
    <n v="0"/>
    <n v="0"/>
    <m/>
    <n v="81.5"/>
  </r>
  <r>
    <s v="USR-100739"/>
    <d v="2025-01-21T00:00:00"/>
    <x v="1"/>
    <x v="0"/>
    <x v="2"/>
    <x v="4"/>
    <x v="0"/>
    <n v="0"/>
    <n v="0"/>
    <n v="0"/>
    <n v="0"/>
    <n v="0"/>
    <n v="2"/>
    <n v="1"/>
    <n v="0"/>
    <m/>
    <n v="37.9"/>
  </r>
  <r>
    <s v="USR-100740"/>
    <d v="2025-02-14T00:00:00"/>
    <x v="1"/>
    <x v="0"/>
    <x v="1"/>
    <x v="3"/>
    <x v="1"/>
    <n v="0"/>
    <n v="0"/>
    <n v="0"/>
    <n v="0"/>
    <n v="0"/>
    <n v="1"/>
    <n v="1"/>
    <n v="0"/>
    <m/>
    <n v="61.7"/>
  </r>
  <r>
    <s v="USR-100741"/>
    <d v="2025-03-30T00:00:00"/>
    <x v="1"/>
    <x v="0"/>
    <x v="0"/>
    <x v="5"/>
    <x v="2"/>
    <n v="1"/>
    <n v="0"/>
    <n v="0"/>
    <n v="0"/>
    <n v="0"/>
    <n v="2"/>
    <n v="1"/>
    <n v="0"/>
    <m/>
    <n v="53.2"/>
  </r>
  <r>
    <s v="USR-100742"/>
    <d v="2025-01-08T00:00:00"/>
    <x v="1"/>
    <x v="0"/>
    <x v="1"/>
    <x v="3"/>
    <x v="1"/>
    <n v="0"/>
    <n v="0"/>
    <n v="0"/>
    <n v="0"/>
    <n v="0"/>
    <n v="0"/>
    <n v="0"/>
    <n v="0"/>
    <m/>
    <n v="61.9"/>
  </r>
  <r>
    <s v="USR-100743"/>
    <d v="2025-02-07T00:00:00"/>
    <x v="1"/>
    <x v="0"/>
    <x v="1"/>
    <x v="4"/>
    <x v="1"/>
    <n v="1"/>
    <n v="1"/>
    <n v="1"/>
    <n v="0"/>
    <n v="0"/>
    <n v="0"/>
    <n v="0"/>
    <n v="0"/>
    <m/>
    <n v="68.900000000000006"/>
  </r>
  <r>
    <s v="USR-100744"/>
    <d v="2025-02-01T00:00:00"/>
    <x v="1"/>
    <x v="0"/>
    <x v="2"/>
    <x v="2"/>
    <x v="0"/>
    <n v="0"/>
    <n v="0"/>
    <n v="0"/>
    <n v="0"/>
    <n v="0"/>
    <n v="0"/>
    <n v="0"/>
    <n v="0"/>
    <m/>
    <n v="66.3"/>
  </r>
  <r>
    <s v="USR-100745"/>
    <d v="2025-01-04T00:00:00"/>
    <x v="1"/>
    <x v="2"/>
    <x v="1"/>
    <x v="0"/>
    <x v="1"/>
    <n v="1"/>
    <n v="1"/>
    <n v="1"/>
    <n v="0"/>
    <n v="0"/>
    <n v="0"/>
    <n v="0"/>
    <n v="0"/>
    <m/>
    <n v="54.6"/>
  </r>
  <r>
    <s v="USR-100746"/>
    <d v="2025-05-16T00:00:00"/>
    <x v="1"/>
    <x v="3"/>
    <x v="0"/>
    <x v="3"/>
    <x v="1"/>
    <n v="0"/>
    <n v="0"/>
    <n v="0"/>
    <n v="0"/>
    <n v="0"/>
    <n v="0"/>
    <n v="0"/>
    <n v="0"/>
    <m/>
    <n v="53.8"/>
  </r>
  <r>
    <s v="USR-100747"/>
    <d v="2025-02-28T00:00:00"/>
    <x v="1"/>
    <x v="1"/>
    <x v="1"/>
    <x v="3"/>
    <x v="1"/>
    <n v="1"/>
    <n v="0"/>
    <n v="0"/>
    <n v="0"/>
    <n v="0"/>
    <n v="0"/>
    <n v="0"/>
    <n v="0"/>
    <m/>
    <n v="59.5"/>
  </r>
  <r>
    <s v="USR-100748"/>
    <d v="2025-04-12T00:00:00"/>
    <x v="1"/>
    <x v="0"/>
    <x v="1"/>
    <x v="3"/>
    <x v="1"/>
    <n v="1"/>
    <n v="0"/>
    <n v="0"/>
    <n v="0"/>
    <n v="0"/>
    <n v="0"/>
    <n v="0"/>
    <n v="0"/>
    <m/>
    <n v="52.6"/>
  </r>
  <r>
    <s v="USR-100749"/>
    <d v="2025-03-23T00:00:00"/>
    <x v="1"/>
    <x v="3"/>
    <x v="0"/>
    <x v="1"/>
    <x v="1"/>
    <n v="0"/>
    <n v="0"/>
    <n v="0"/>
    <n v="0"/>
    <n v="0"/>
    <n v="0"/>
    <n v="0"/>
    <n v="0"/>
    <m/>
    <n v="49"/>
  </r>
  <r>
    <s v="USR-100750"/>
    <d v="2025-05-29T00:00:00"/>
    <x v="1"/>
    <x v="0"/>
    <x v="2"/>
    <x v="1"/>
    <x v="1"/>
    <n v="1"/>
    <n v="0"/>
    <n v="0"/>
    <n v="0"/>
    <n v="0"/>
    <n v="0"/>
    <n v="0"/>
    <n v="0"/>
    <m/>
    <n v="59.3"/>
  </r>
  <r>
    <s v="USR-100751"/>
    <d v="2025-05-21T00:00:00"/>
    <x v="1"/>
    <x v="3"/>
    <x v="0"/>
    <x v="1"/>
    <x v="0"/>
    <n v="0"/>
    <n v="0"/>
    <n v="0"/>
    <n v="0"/>
    <n v="0"/>
    <n v="0"/>
    <n v="0"/>
    <n v="0"/>
    <m/>
    <n v="67.2"/>
  </r>
  <r>
    <s v="USR-100752"/>
    <d v="2025-01-05T00:00:00"/>
    <x v="1"/>
    <x v="3"/>
    <x v="1"/>
    <x v="3"/>
    <x v="2"/>
    <n v="0"/>
    <n v="0"/>
    <n v="0"/>
    <n v="0"/>
    <n v="0"/>
    <n v="0"/>
    <n v="0"/>
    <n v="0"/>
    <m/>
    <n v="73.5"/>
  </r>
  <r>
    <s v="USR-100753"/>
    <d v="2025-03-19T00:00:00"/>
    <x v="1"/>
    <x v="2"/>
    <x v="2"/>
    <x v="1"/>
    <x v="1"/>
    <n v="1"/>
    <n v="0"/>
    <n v="0"/>
    <n v="0"/>
    <n v="0"/>
    <n v="0"/>
    <n v="0"/>
    <n v="0"/>
    <m/>
    <n v="61.2"/>
  </r>
  <r>
    <s v="USR-100754"/>
    <d v="2025-04-24T00:00:00"/>
    <x v="1"/>
    <x v="2"/>
    <x v="1"/>
    <x v="1"/>
    <x v="1"/>
    <n v="1"/>
    <n v="0"/>
    <n v="0"/>
    <n v="0"/>
    <n v="0"/>
    <n v="1"/>
    <n v="1"/>
    <n v="0"/>
    <m/>
    <n v="56.4"/>
  </r>
  <r>
    <s v="USR-100755"/>
    <d v="2025-03-10T00:00:00"/>
    <x v="1"/>
    <x v="0"/>
    <x v="2"/>
    <x v="1"/>
    <x v="1"/>
    <n v="0"/>
    <n v="0"/>
    <n v="0"/>
    <n v="0"/>
    <n v="0"/>
    <n v="3"/>
    <n v="1"/>
    <n v="0"/>
    <m/>
    <n v="72.599999999999994"/>
  </r>
  <r>
    <s v="USR-100756"/>
    <d v="2025-02-22T00:00:00"/>
    <x v="1"/>
    <x v="3"/>
    <x v="2"/>
    <x v="3"/>
    <x v="0"/>
    <n v="1"/>
    <n v="0"/>
    <n v="0"/>
    <n v="0"/>
    <n v="0"/>
    <n v="0"/>
    <n v="0"/>
    <n v="0"/>
    <m/>
    <n v="61.7"/>
  </r>
  <r>
    <s v="USR-100757"/>
    <d v="2025-05-17T00:00:00"/>
    <x v="1"/>
    <x v="2"/>
    <x v="1"/>
    <x v="4"/>
    <x v="1"/>
    <n v="0"/>
    <n v="0"/>
    <n v="0"/>
    <n v="0"/>
    <n v="0"/>
    <n v="1"/>
    <n v="1"/>
    <n v="0"/>
    <m/>
    <n v="66.900000000000006"/>
  </r>
  <r>
    <s v="USR-100758"/>
    <d v="2025-05-09T00:00:00"/>
    <x v="1"/>
    <x v="2"/>
    <x v="2"/>
    <x v="3"/>
    <x v="2"/>
    <n v="1"/>
    <n v="1"/>
    <n v="1"/>
    <n v="1"/>
    <n v="1506.24"/>
    <n v="1"/>
    <n v="1"/>
    <n v="0"/>
    <n v="7"/>
    <n v="64.900000000000006"/>
  </r>
  <r>
    <s v="USR-100759"/>
    <d v="2025-04-26T00:00:00"/>
    <x v="1"/>
    <x v="2"/>
    <x v="2"/>
    <x v="1"/>
    <x v="2"/>
    <n v="1"/>
    <n v="0"/>
    <n v="0"/>
    <n v="0"/>
    <n v="0"/>
    <n v="0"/>
    <n v="0"/>
    <n v="0"/>
    <m/>
    <n v="57.5"/>
  </r>
  <r>
    <s v="USR-100760"/>
    <d v="2025-03-15T00:00:00"/>
    <x v="1"/>
    <x v="1"/>
    <x v="0"/>
    <x v="4"/>
    <x v="1"/>
    <n v="1"/>
    <n v="1"/>
    <n v="1"/>
    <n v="0"/>
    <n v="0"/>
    <n v="0"/>
    <n v="0"/>
    <n v="0"/>
    <m/>
    <n v="76.3"/>
  </r>
  <r>
    <s v="USR-100761"/>
    <d v="2025-04-03T00:00:00"/>
    <x v="1"/>
    <x v="0"/>
    <x v="1"/>
    <x v="2"/>
    <x v="1"/>
    <n v="0"/>
    <n v="0"/>
    <n v="0"/>
    <n v="0"/>
    <n v="0"/>
    <n v="0"/>
    <n v="0"/>
    <n v="0"/>
    <m/>
    <n v="47.5"/>
  </r>
  <r>
    <s v="USR-100762"/>
    <d v="2025-03-26T00:00:00"/>
    <x v="1"/>
    <x v="3"/>
    <x v="1"/>
    <x v="2"/>
    <x v="1"/>
    <n v="0"/>
    <n v="0"/>
    <n v="0"/>
    <n v="0"/>
    <n v="0"/>
    <n v="0"/>
    <n v="0"/>
    <n v="0"/>
    <m/>
    <m/>
  </r>
  <r>
    <s v="USR-100763"/>
    <d v="2025-02-05T00:00:00"/>
    <x v="1"/>
    <x v="1"/>
    <x v="0"/>
    <x v="1"/>
    <x v="0"/>
    <n v="1"/>
    <n v="1"/>
    <n v="0"/>
    <n v="0"/>
    <n v="0"/>
    <n v="2"/>
    <n v="1"/>
    <n v="0"/>
    <m/>
    <n v="71.599999999999994"/>
  </r>
  <r>
    <s v="USR-100764"/>
    <d v="2025-05-08T00:00:00"/>
    <x v="1"/>
    <x v="3"/>
    <x v="1"/>
    <x v="4"/>
    <x v="0"/>
    <n v="1"/>
    <n v="1"/>
    <n v="0"/>
    <n v="0"/>
    <n v="0"/>
    <n v="0"/>
    <n v="0"/>
    <n v="0"/>
    <m/>
    <n v="55.8"/>
  </r>
  <r>
    <s v="USR-100765"/>
    <d v="2025-03-25T00:00:00"/>
    <x v="1"/>
    <x v="3"/>
    <x v="0"/>
    <x v="1"/>
    <x v="0"/>
    <n v="0"/>
    <n v="0"/>
    <n v="0"/>
    <n v="0"/>
    <n v="0"/>
    <n v="1"/>
    <n v="1"/>
    <n v="0"/>
    <m/>
    <n v="60.1"/>
  </r>
  <r>
    <s v="USR-100766"/>
    <d v="2025-01-14T00:00:00"/>
    <x v="1"/>
    <x v="1"/>
    <x v="3"/>
    <x v="0"/>
    <x v="0"/>
    <n v="1"/>
    <n v="1"/>
    <n v="1"/>
    <n v="0"/>
    <n v="0"/>
    <n v="1"/>
    <n v="1"/>
    <n v="0"/>
    <m/>
    <n v="59.3"/>
  </r>
  <r>
    <s v="USR-100767"/>
    <d v="2025-03-26T00:00:00"/>
    <x v="1"/>
    <x v="0"/>
    <x v="1"/>
    <x v="1"/>
    <x v="1"/>
    <n v="1"/>
    <n v="1"/>
    <n v="0"/>
    <n v="0"/>
    <n v="0"/>
    <n v="2"/>
    <n v="1"/>
    <n v="0"/>
    <m/>
    <n v="49.3"/>
  </r>
  <r>
    <s v="USR-100768"/>
    <d v="2025-01-16T00:00:00"/>
    <x v="1"/>
    <x v="2"/>
    <x v="1"/>
    <x v="3"/>
    <x v="1"/>
    <n v="1"/>
    <n v="0"/>
    <n v="0"/>
    <n v="0"/>
    <n v="0"/>
    <n v="0"/>
    <n v="0"/>
    <n v="0"/>
    <m/>
    <n v="75"/>
  </r>
  <r>
    <s v="USR-100769"/>
    <d v="2025-01-04T00:00:00"/>
    <x v="1"/>
    <x v="2"/>
    <x v="1"/>
    <x v="4"/>
    <x v="1"/>
    <n v="1"/>
    <n v="0"/>
    <n v="0"/>
    <n v="0"/>
    <n v="0"/>
    <n v="0"/>
    <n v="0"/>
    <n v="0"/>
    <m/>
    <n v="70.2"/>
  </r>
  <r>
    <s v="USR-100770"/>
    <d v="2025-02-09T00:00:00"/>
    <x v="1"/>
    <x v="3"/>
    <x v="0"/>
    <x v="1"/>
    <x v="2"/>
    <n v="1"/>
    <n v="1"/>
    <n v="1"/>
    <n v="0"/>
    <n v="0"/>
    <n v="0"/>
    <n v="0"/>
    <n v="0"/>
    <m/>
    <n v="56.6"/>
  </r>
  <r>
    <s v="USR-100771"/>
    <d v="2025-03-05T00:00:00"/>
    <x v="1"/>
    <x v="2"/>
    <x v="0"/>
    <x v="1"/>
    <x v="1"/>
    <n v="1"/>
    <n v="0"/>
    <n v="0"/>
    <n v="0"/>
    <n v="0"/>
    <n v="0"/>
    <n v="0"/>
    <n v="0"/>
    <m/>
    <n v="65.400000000000006"/>
  </r>
  <r>
    <s v="USR-100772"/>
    <d v="2025-03-10T00:00:00"/>
    <x v="1"/>
    <x v="2"/>
    <x v="1"/>
    <x v="3"/>
    <x v="0"/>
    <n v="1"/>
    <n v="0"/>
    <n v="0"/>
    <n v="0"/>
    <n v="0"/>
    <n v="0"/>
    <n v="0"/>
    <n v="0"/>
    <m/>
    <n v="47.6"/>
  </r>
  <r>
    <s v="USR-100773"/>
    <d v="2025-02-27T00:00:00"/>
    <x v="1"/>
    <x v="2"/>
    <x v="0"/>
    <x v="2"/>
    <x v="1"/>
    <n v="1"/>
    <n v="0"/>
    <n v="0"/>
    <n v="0"/>
    <n v="0"/>
    <n v="0"/>
    <n v="0"/>
    <n v="0"/>
    <m/>
    <n v="56.7"/>
  </r>
  <r>
    <s v="USR-100774"/>
    <d v="2025-03-10T00:00:00"/>
    <x v="1"/>
    <x v="0"/>
    <x v="0"/>
    <x v="3"/>
    <x v="0"/>
    <n v="1"/>
    <n v="1"/>
    <n v="0"/>
    <n v="0"/>
    <n v="0"/>
    <n v="0"/>
    <n v="0"/>
    <n v="0"/>
    <m/>
    <n v="71.400000000000006"/>
  </r>
  <r>
    <s v="USR-100775"/>
    <d v="2025-04-23T00:00:00"/>
    <x v="1"/>
    <x v="1"/>
    <x v="1"/>
    <x v="4"/>
    <x v="1"/>
    <n v="0"/>
    <n v="0"/>
    <n v="0"/>
    <n v="0"/>
    <n v="0"/>
    <n v="2"/>
    <n v="1"/>
    <n v="0"/>
    <m/>
    <n v="60.5"/>
  </r>
  <r>
    <s v="USR-100776"/>
    <d v="2025-04-12T00:00:00"/>
    <x v="1"/>
    <x v="0"/>
    <x v="0"/>
    <x v="2"/>
    <x v="1"/>
    <n v="1"/>
    <n v="0"/>
    <n v="0"/>
    <n v="0"/>
    <n v="0"/>
    <n v="0"/>
    <n v="0"/>
    <n v="0"/>
    <m/>
    <n v="46.7"/>
  </r>
  <r>
    <s v="USR-100777"/>
    <d v="2025-01-26T00:00:00"/>
    <x v="1"/>
    <x v="2"/>
    <x v="0"/>
    <x v="3"/>
    <x v="1"/>
    <n v="0"/>
    <n v="0"/>
    <n v="0"/>
    <n v="0"/>
    <n v="0"/>
    <n v="0"/>
    <n v="0"/>
    <n v="0"/>
    <m/>
    <n v="61"/>
  </r>
  <r>
    <s v="USR-100778"/>
    <d v="2025-05-24T00:00:00"/>
    <x v="1"/>
    <x v="1"/>
    <x v="2"/>
    <x v="2"/>
    <x v="1"/>
    <n v="0"/>
    <n v="0"/>
    <n v="0"/>
    <n v="0"/>
    <n v="0"/>
    <n v="0"/>
    <n v="0"/>
    <n v="0"/>
    <m/>
    <n v="60.9"/>
  </r>
  <r>
    <s v="USR-100779"/>
    <d v="2025-01-08T00:00:00"/>
    <x v="1"/>
    <x v="3"/>
    <x v="1"/>
    <x v="1"/>
    <x v="1"/>
    <n v="1"/>
    <n v="0"/>
    <n v="0"/>
    <n v="0"/>
    <n v="0"/>
    <n v="0"/>
    <n v="0"/>
    <n v="0"/>
    <m/>
    <n v="67.099999999999994"/>
  </r>
  <r>
    <s v="USR-100780"/>
    <d v="2025-04-15T00:00:00"/>
    <x v="1"/>
    <x v="0"/>
    <x v="1"/>
    <x v="3"/>
    <x v="1"/>
    <n v="1"/>
    <n v="1"/>
    <n v="0"/>
    <n v="0"/>
    <n v="0"/>
    <n v="0"/>
    <n v="0"/>
    <n v="0"/>
    <m/>
    <n v="59.6"/>
  </r>
  <r>
    <s v="USR-100781"/>
    <d v="2025-01-15T00:00:00"/>
    <x v="1"/>
    <x v="3"/>
    <x v="0"/>
    <x v="2"/>
    <x v="1"/>
    <n v="1"/>
    <n v="0"/>
    <n v="0"/>
    <n v="0"/>
    <n v="0"/>
    <n v="0"/>
    <n v="0"/>
    <n v="0"/>
    <m/>
    <n v="83.8"/>
  </r>
  <r>
    <s v="USR-100782"/>
    <d v="2025-02-28T00:00:00"/>
    <x v="1"/>
    <x v="0"/>
    <x v="1"/>
    <x v="1"/>
    <x v="0"/>
    <n v="1"/>
    <n v="1"/>
    <n v="1"/>
    <n v="0"/>
    <n v="0"/>
    <n v="0"/>
    <n v="0"/>
    <n v="0"/>
    <m/>
    <n v="70.8"/>
  </r>
  <r>
    <s v="USR-100783"/>
    <d v="2025-01-01T00:00:00"/>
    <x v="1"/>
    <x v="0"/>
    <x v="2"/>
    <x v="1"/>
    <x v="0"/>
    <n v="0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x v="1"/>
    <n v="1"/>
    <n v="0"/>
    <n v="0"/>
    <n v="0"/>
    <n v="0"/>
    <n v="0"/>
    <n v="0"/>
    <n v="0"/>
    <m/>
    <n v="58"/>
  </r>
  <r>
    <s v="USR-100785"/>
    <d v="2025-02-19T00:00:00"/>
    <x v="1"/>
    <x v="0"/>
    <x v="1"/>
    <x v="0"/>
    <x v="0"/>
    <n v="1"/>
    <n v="1"/>
    <n v="0"/>
    <n v="0"/>
    <n v="0"/>
    <n v="0"/>
    <n v="0"/>
    <n v="0"/>
    <m/>
    <n v="80.3"/>
  </r>
  <r>
    <s v="USR-100786"/>
    <d v="2025-03-14T00:00:00"/>
    <x v="1"/>
    <x v="0"/>
    <x v="0"/>
    <x v="1"/>
    <x v="1"/>
    <n v="1"/>
    <n v="0"/>
    <n v="0"/>
    <n v="0"/>
    <n v="0"/>
    <n v="0"/>
    <n v="0"/>
    <n v="0"/>
    <m/>
    <n v="55.7"/>
  </r>
  <r>
    <s v="USR-100787"/>
    <d v="2025-04-21T00:00:00"/>
    <x v="1"/>
    <x v="0"/>
    <x v="1"/>
    <x v="1"/>
    <x v="1"/>
    <n v="1"/>
    <n v="1"/>
    <n v="0"/>
    <n v="0"/>
    <n v="0"/>
    <n v="0"/>
    <n v="0"/>
    <n v="0"/>
    <m/>
    <n v="84.9"/>
  </r>
  <r>
    <s v="USR-100788"/>
    <d v="2025-02-14T00:00:00"/>
    <x v="1"/>
    <x v="0"/>
    <x v="1"/>
    <x v="1"/>
    <x v="1"/>
    <n v="1"/>
    <n v="0"/>
    <n v="0"/>
    <n v="0"/>
    <n v="0"/>
    <n v="0"/>
    <n v="0"/>
    <n v="0"/>
    <m/>
    <n v="63.3"/>
  </r>
  <r>
    <s v="USR-100789"/>
    <d v="2025-05-30T00:00:00"/>
    <x v="1"/>
    <x v="1"/>
    <x v="1"/>
    <x v="1"/>
    <x v="1"/>
    <n v="0"/>
    <n v="0"/>
    <n v="0"/>
    <n v="0"/>
    <n v="0"/>
    <n v="0"/>
    <n v="0"/>
    <n v="0"/>
    <m/>
    <n v="53.1"/>
  </r>
  <r>
    <s v="USR-100790"/>
    <d v="2025-01-20T00:00:00"/>
    <x v="1"/>
    <x v="1"/>
    <x v="1"/>
    <x v="1"/>
    <x v="1"/>
    <n v="0"/>
    <n v="0"/>
    <n v="0"/>
    <n v="0"/>
    <n v="0"/>
    <n v="0"/>
    <n v="0"/>
    <n v="0"/>
    <m/>
    <n v="66"/>
  </r>
  <r>
    <s v="USR-100791"/>
    <d v="2025-03-17T00:00:00"/>
    <x v="1"/>
    <x v="1"/>
    <x v="1"/>
    <x v="4"/>
    <x v="2"/>
    <n v="0"/>
    <n v="0"/>
    <n v="0"/>
    <n v="0"/>
    <n v="0"/>
    <n v="0"/>
    <n v="0"/>
    <n v="0"/>
    <m/>
    <n v="54.7"/>
  </r>
  <r>
    <s v="USR-100792"/>
    <d v="2025-03-04T00:00:00"/>
    <x v="1"/>
    <x v="1"/>
    <x v="1"/>
    <x v="4"/>
    <x v="1"/>
    <n v="1"/>
    <n v="1"/>
    <n v="0"/>
    <n v="0"/>
    <n v="0"/>
    <n v="1"/>
    <n v="1"/>
    <n v="0"/>
    <m/>
    <n v="41.2"/>
  </r>
  <r>
    <s v="USR-100793"/>
    <d v="2025-02-22T00:00:00"/>
    <x v="1"/>
    <x v="3"/>
    <x v="1"/>
    <x v="1"/>
    <x v="2"/>
    <n v="0"/>
    <n v="0"/>
    <n v="0"/>
    <n v="0"/>
    <n v="0"/>
    <n v="0"/>
    <n v="0"/>
    <n v="0"/>
    <m/>
    <n v="66.7"/>
  </r>
  <r>
    <s v="USR-100794"/>
    <d v="2025-05-02T00:00:00"/>
    <x v="1"/>
    <x v="0"/>
    <x v="1"/>
    <x v="2"/>
    <x v="2"/>
    <n v="0"/>
    <n v="0"/>
    <n v="0"/>
    <n v="0"/>
    <n v="0"/>
    <n v="0"/>
    <n v="0"/>
    <n v="0"/>
    <m/>
    <n v="39.4"/>
  </r>
  <r>
    <s v="USR-100795"/>
    <d v="2025-03-13T00:00:00"/>
    <x v="1"/>
    <x v="1"/>
    <x v="0"/>
    <x v="1"/>
    <x v="2"/>
    <n v="0"/>
    <n v="0"/>
    <n v="0"/>
    <n v="0"/>
    <n v="0"/>
    <n v="3"/>
    <n v="1"/>
    <n v="0"/>
    <m/>
    <n v="67"/>
  </r>
  <r>
    <s v="USR-100796"/>
    <d v="2025-05-31T00:00:00"/>
    <x v="1"/>
    <x v="3"/>
    <x v="1"/>
    <x v="1"/>
    <x v="0"/>
    <n v="1"/>
    <n v="0"/>
    <n v="0"/>
    <n v="0"/>
    <n v="0"/>
    <n v="0"/>
    <n v="0"/>
    <n v="0"/>
    <m/>
    <n v="50.4"/>
  </r>
  <r>
    <s v="USR-100797"/>
    <d v="2025-03-07T00:00:00"/>
    <x v="1"/>
    <x v="1"/>
    <x v="0"/>
    <x v="4"/>
    <x v="1"/>
    <n v="1"/>
    <n v="0"/>
    <n v="0"/>
    <n v="0"/>
    <n v="0"/>
    <n v="0"/>
    <n v="0"/>
    <n v="0"/>
    <m/>
    <n v="53.8"/>
  </r>
  <r>
    <s v="USR-100798"/>
    <d v="2025-02-22T00:00:00"/>
    <x v="1"/>
    <x v="1"/>
    <x v="1"/>
    <x v="2"/>
    <x v="0"/>
    <n v="0"/>
    <n v="0"/>
    <n v="0"/>
    <n v="0"/>
    <n v="0"/>
    <n v="1"/>
    <n v="1"/>
    <n v="0"/>
    <m/>
    <n v="82.7"/>
  </r>
  <r>
    <s v="USR-100799"/>
    <d v="2025-01-05T00:00:00"/>
    <x v="1"/>
    <x v="1"/>
    <x v="0"/>
    <x v="2"/>
    <x v="1"/>
    <n v="1"/>
    <n v="1"/>
    <n v="1"/>
    <n v="0"/>
    <n v="0"/>
    <n v="0"/>
    <n v="0"/>
    <n v="0"/>
    <m/>
    <n v="63.9"/>
  </r>
  <r>
    <s v="USR-100800"/>
    <d v="2025-01-21T00:00:00"/>
    <x v="1"/>
    <x v="1"/>
    <x v="1"/>
    <x v="3"/>
    <x v="1"/>
    <n v="1"/>
    <n v="0"/>
    <n v="0"/>
    <n v="0"/>
    <n v="0"/>
    <n v="0"/>
    <n v="0"/>
    <n v="0"/>
    <m/>
    <n v="61.9"/>
  </r>
  <r>
    <s v="USR-100801"/>
    <d v="2025-01-25T00:00:00"/>
    <x v="1"/>
    <x v="0"/>
    <x v="0"/>
    <x v="4"/>
    <x v="1"/>
    <n v="1"/>
    <n v="1"/>
    <n v="1"/>
    <n v="0"/>
    <n v="0"/>
    <n v="0"/>
    <n v="0"/>
    <n v="0"/>
    <m/>
    <n v="75"/>
  </r>
  <r>
    <s v="USR-100802"/>
    <d v="2025-04-04T00:00:00"/>
    <x v="1"/>
    <x v="1"/>
    <x v="1"/>
    <x v="2"/>
    <x v="0"/>
    <n v="1"/>
    <n v="1"/>
    <n v="1"/>
    <n v="0"/>
    <n v="0"/>
    <n v="0"/>
    <n v="0"/>
    <n v="0"/>
    <m/>
    <n v="43"/>
  </r>
  <r>
    <s v="USR-100803"/>
    <d v="2025-03-25T00:00:00"/>
    <x v="1"/>
    <x v="0"/>
    <x v="0"/>
    <x v="4"/>
    <x v="2"/>
    <n v="0"/>
    <n v="0"/>
    <n v="0"/>
    <n v="0"/>
    <n v="0"/>
    <n v="0"/>
    <n v="0"/>
    <n v="0"/>
    <m/>
    <n v="54.3"/>
  </r>
  <r>
    <s v="USR-100804"/>
    <d v="2025-03-19T00:00:00"/>
    <x v="1"/>
    <x v="1"/>
    <x v="1"/>
    <x v="4"/>
    <x v="1"/>
    <n v="0"/>
    <n v="0"/>
    <n v="0"/>
    <n v="0"/>
    <n v="0"/>
    <n v="2"/>
    <n v="1"/>
    <n v="0"/>
    <m/>
    <n v="44.3"/>
  </r>
  <r>
    <s v="USR-100805"/>
    <d v="2025-04-24T00:00:00"/>
    <x v="1"/>
    <x v="1"/>
    <x v="0"/>
    <x v="1"/>
    <x v="1"/>
    <n v="1"/>
    <n v="1"/>
    <n v="1"/>
    <n v="1"/>
    <n v="402.88"/>
    <n v="0"/>
    <n v="0"/>
    <n v="0"/>
    <n v="12"/>
    <n v="76"/>
  </r>
  <r>
    <s v="USR-100806"/>
    <d v="2025-04-04T00:00:00"/>
    <x v="1"/>
    <x v="3"/>
    <x v="2"/>
    <x v="1"/>
    <x v="1"/>
    <n v="1"/>
    <n v="0"/>
    <n v="0"/>
    <n v="0"/>
    <n v="0"/>
    <n v="2"/>
    <n v="1"/>
    <n v="0"/>
    <m/>
    <n v="65.3"/>
  </r>
  <r>
    <s v="USR-100807"/>
    <d v="2025-03-28T00:00:00"/>
    <x v="1"/>
    <x v="3"/>
    <x v="0"/>
    <x v="2"/>
    <x v="2"/>
    <n v="1"/>
    <n v="0"/>
    <n v="0"/>
    <n v="0"/>
    <n v="0"/>
    <n v="0"/>
    <n v="0"/>
    <n v="0"/>
    <m/>
    <n v="71.2"/>
  </r>
  <r>
    <s v="USR-100808"/>
    <d v="2025-05-15T00:00:00"/>
    <x v="1"/>
    <x v="3"/>
    <x v="2"/>
    <x v="2"/>
    <x v="1"/>
    <n v="1"/>
    <n v="0"/>
    <n v="0"/>
    <n v="0"/>
    <n v="0"/>
    <n v="0"/>
    <n v="0"/>
    <n v="0"/>
    <m/>
    <n v="77.900000000000006"/>
  </r>
  <r>
    <s v="USR-100809"/>
    <d v="2025-03-13T00:00:00"/>
    <x v="1"/>
    <x v="1"/>
    <x v="1"/>
    <x v="2"/>
    <x v="1"/>
    <n v="0"/>
    <n v="0"/>
    <n v="0"/>
    <n v="0"/>
    <n v="0"/>
    <n v="0"/>
    <n v="0"/>
    <n v="0"/>
    <m/>
    <n v="48.6"/>
  </r>
  <r>
    <s v="USR-100810"/>
    <d v="2025-03-26T00:00:00"/>
    <x v="1"/>
    <x v="0"/>
    <x v="1"/>
    <x v="4"/>
    <x v="2"/>
    <n v="1"/>
    <n v="0"/>
    <n v="0"/>
    <n v="0"/>
    <n v="0"/>
    <n v="0"/>
    <n v="0"/>
    <n v="0"/>
    <m/>
    <n v="61.9"/>
  </r>
  <r>
    <s v="USR-100811"/>
    <d v="2025-01-09T00:00:00"/>
    <x v="1"/>
    <x v="0"/>
    <x v="1"/>
    <x v="4"/>
    <x v="0"/>
    <n v="0"/>
    <n v="0"/>
    <n v="0"/>
    <n v="0"/>
    <n v="0"/>
    <n v="1"/>
    <n v="1"/>
    <n v="0"/>
    <m/>
    <n v="58.7"/>
  </r>
  <r>
    <s v="USR-100812"/>
    <d v="2025-05-06T00:00:00"/>
    <x v="1"/>
    <x v="3"/>
    <x v="0"/>
    <x v="2"/>
    <x v="1"/>
    <n v="1"/>
    <n v="0"/>
    <n v="0"/>
    <n v="0"/>
    <n v="0"/>
    <n v="0"/>
    <n v="0"/>
    <n v="0"/>
    <m/>
    <n v="69.599999999999994"/>
  </r>
  <r>
    <s v="USR-100813"/>
    <d v="2025-02-17T00:00:00"/>
    <x v="1"/>
    <x v="3"/>
    <x v="1"/>
    <x v="1"/>
    <x v="1"/>
    <n v="1"/>
    <n v="0"/>
    <n v="0"/>
    <n v="0"/>
    <n v="0"/>
    <n v="0"/>
    <n v="0"/>
    <n v="0"/>
    <m/>
    <n v="51.5"/>
  </r>
  <r>
    <s v="USR-100814"/>
    <d v="2025-04-05T00:00:00"/>
    <x v="1"/>
    <x v="2"/>
    <x v="1"/>
    <x v="2"/>
    <x v="1"/>
    <n v="1"/>
    <n v="1"/>
    <n v="1"/>
    <n v="1"/>
    <n v="277.69"/>
    <n v="3"/>
    <n v="1"/>
    <n v="0"/>
    <n v="8"/>
    <n v="46"/>
  </r>
  <r>
    <s v="USR-100815"/>
    <d v="2025-04-13T00:00:00"/>
    <x v="1"/>
    <x v="1"/>
    <x v="2"/>
    <x v="1"/>
    <x v="1"/>
    <n v="1"/>
    <n v="0"/>
    <n v="0"/>
    <n v="0"/>
    <n v="0"/>
    <n v="0"/>
    <n v="0"/>
    <n v="0"/>
    <m/>
    <n v="81.7"/>
  </r>
  <r>
    <s v="USR-100816"/>
    <d v="2025-05-20T00:00:00"/>
    <x v="1"/>
    <x v="2"/>
    <x v="0"/>
    <x v="3"/>
    <x v="1"/>
    <n v="1"/>
    <n v="0"/>
    <n v="0"/>
    <n v="0"/>
    <n v="0"/>
    <n v="0"/>
    <n v="0"/>
    <n v="0"/>
    <m/>
    <n v="48.3"/>
  </r>
  <r>
    <s v="USR-100817"/>
    <d v="2025-03-31T00:00:00"/>
    <x v="1"/>
    <x v="2"/>
    <x v="1"/>
    <x v="0"/>
    <x v="1"/>
    <n v="1"/>
    <n v="1"/>
    <n v="0"/>
    <n v="0"/>
    <n v="0"/>
    <n v="0"/>
    <n v="0"/>
    <n v="0"/>
    <m/>
    <n v="85.6"/>
  </r>
  <r>
    <s v="USR-100818"/>
    <d v="2025-04-03T00:00:00"/>
    <x v="1"/>
    <x v="1"/>
    <x v="2"/>
    <x v="2"/>
    <x v="0"/>
    <n v="1"/>
    <n v="0"/>
    <n v="0"/>
    <n v="0"/>
    <n v="0"/>
    <n v="0"/>
    <n v="0"/>
    <n v="0"/>
    <m/>
    <n v="53.8"/>
  </r>
  <r>
    <s v="USR-100819"/>
    <d v="2025-02-04T00:00:00"/>
    <x v="1"/>
    <x v="3"/>
    <x v="1"/>
    <x v="1"/>
    <x v="1"/>
    <n v="1"/>
    <n v="1"/>
    <n v="1"/>
    <n v="1"/>
    <n v="460.83"/>
    <n v="2"/>
    <n v="1"/>
    <n v="0"/>
    <n v="0"/>
    <n v="69.7"/>
  </r>
  <r>
    <s v="USR-100820"/>
    <d v="2025-05-19T00:00:00"/>
    <x v="1"/>
    <x v="2"/>
    <x v="1"/>
    <x v="1"/>
    <x v="1"/>
    <n v="1"/>
    <n v="0"/>
    <n v="0"/>
    <n v="0"/>
    <n v="0"/>
    <n v="0"/>
    <n v="0"/>
    <n v="0"/>
    <m/>
    <n v="74.8"/>
  </r>
  <r>
    <s v="USR-100821"/>
    <d v="2025-03-08T00:00:00"/>
    <x v="1"/>
    <x v="2"/>
    <x v="0"/>
    <x v="2"/>
    <x v="0"/>
    <n v="0"/>
    <n v="0"/>
    <n v="0"/>
    <n v="0"/>
    <n v="0"/>
    <n v="0"/>
    <n v="0"/>
    <n v="0"/>
    <m/>
    <n v="87.9"/>
  </r>
  <r>
    <s v="USR-100822"/>
    <d v="2025-05-10T00:00:00"/>
    <x v="1"/>
    <x v="0"/>
    <x v="1"/>
    <x v="4"/>
    <x v="0"/>
    <n v="1"/>
    <n v="0"/>
    <n v="0"/>
    <n v="0"/>
    <n v="0"/>
    <n v="1"/>
    <n v="1"/>
    <n v="0"/>
    <m/>
    <n v="49.1"/>
  </r>
  <r>
    <s v="USR-100823"/>
    <d v="2025-01-02T00:00:00"/>
    <x v="1"/>
    <x v="2"/>
    <x v="0"/>
    <x v="4"/>
    <x v="0"/>
    <n v="1"/>
    <n v="0"/>
    <n v="0"/>
    <n v="0"/>
    <n v="0"/>
    <n v="2"/>
    <n v="1"/>
    <n v="0"/>
    <m/>
    <n v="73"/>
  </r>
  <r>
    <s v="USR-100824"/>
    <d v="2025-01-17T00:00:00"/>
    <x v="1"/>
    <x v="1"/>
    <x v="1"/>
    <x v="1"/>
    <x v="0"/>
    <n v="0"/>
    <n v="0"/>
    <n v="0"/>
    <n v="0"/>
    <n v="0"/>
    <n v="0"/>
    <n v="0"/>
    <n v="0"/>
    <m/>
    <n v="79.5"/>
  </r>
  <r>
    <s v="USR-100825"/>
    <d v="2025-05-21T00:00:00"/>
    <x v="1"/>
    <x v="1"/>
    <x v="1"/>
    <x v="3"/>
    <x v="0"/>
    <n v="1"/>
    <n v="1"/>
    <n v="1"/>
    <n v="1"/>
    <n v="782.23"/>
    <n v="1"/>
    <n v="1"/>
    <n v="0"/>
    <n v="6"/>
    <n v="93.2"/>
  </r>
  <r>
    <s v="USR-100826"/>
    <d v="2025-05-25T00:00:00"/>
    <x v="1"/>
    <x v="2"/>
    <x v="0"/>
    <x v="3"/>
    <x v="1"/>
    <n v="1"/>
    <n v="0"/>
    <n v="0"/>
    <n v="0"/>
    <n v="0"/>
    <n v="3"/>
    <n v="1"/>
    <n v="0"/>
    <m/>
    <n v="77.5"/>
  </r>
  <r>
    <s v="USR-100827"/>
    <d v="2025-01-05T00:00:00"/>
    <x v="1"/>
    <x v="1"/>
    <x v="1"/>
    <x v="0"/>
    <x v="0"/>
    <n v="1"/>
    <n v="0"/>
    <n v="0"/>
    <n v="0"/>
    <n v="0"/>
    <n v="0"/>
    <n v="0"/>
    <n v="0"/>
    <m/>
    <n v="61"/>
  </r>
  <r>
    <s v="USR-100828"/>
    <d v="2025-02-24T00:00:00"/>
    <x v="1"/>
    <x v="3"/>
    <x v="0"/>
    <x v="1"/>
    <x v="1"/>
    <n v="1"/>
    <n v="1"/>
    <n v="0"/>
    <n v="0"/>
    <n v="0"/>
    <n v="0"/>
    <n v="0"/>
    <n v="0"/>
    <m/>
    <n v="64.900000000000006"/>
  </r>
  <r>
    <s v="USR-100829"/>
    <d v="2025-01-21T00:00:00"/>
    <x v="1"/>
    <x v="2"/>
    <x v="1"/>
    <x v="2"/>
    <x v="0"/>
    <n v="1"/>
    <n v="0"/>
    <n v="0"/>
    <n v="0"/>
    <n v="0"/>
    <n v="0"/>
    <n v="0"/>
    <n v="0"/>
    <m/>
    <n v="87.5"/>
  </r>
  <r>
    <s v="USR-100830"/>
    <d v="2025-04-24T00:00:00"/>
    <x v="1"/>
    <x v="0"/>
    <x v="1"/>
    <x v="1"/>
    <x v="0"/>
    <n v="1"/>
    <n v="1"/>
    <n v="1"/>
    <n v="1"/>
    <n v="1171.99"/>
    <n v="0"/>
    <n v="0"/>
    <n v="0"/>
    <n v="5"/>
    <n v="80.599999999999994"/>
  </r>
  <r>
    <s v="USR-100831"/>
    <d v="2025-01-07T00:00:00"/>
    <x v="1"/>
    <x v="1"/>
    <x v="0"/>
    <x v="1"/>
    <x v="1"/>
    <n v="1"/>
    <n v="0"/>
    <n v="0"/>
    <n v="0"/>
    <n v="0"/>
    <n v="0"/>
    <n v="0"/>
    <n v="0"/>
    <m/>
    <n v="66.900000000000006"/>
  </r>
  <r>
    <s v="USR-100832"/>
    <d v="2025-05-31T00:00:00"/>
    <x v="1"/>
    <x v="3"/>
    <x v="2"/>
    <x v="1"/>
    <x v="0"/>
    <n v="1"/>
    <n v="1"/>
    <n v="1"/>
    <n v="0"/>
    <n v="0"/>
    <n v="0"/>
    <n v="0"/>
    <n v="0"/>
    <m/>
    <n v="58.8"/>
  </r>
  <r>
    <s v="USR-100833"/>
    <d v="2025-04-02T00:00:00"/>
    <x v="1"/>
    <x v="0"/>
    <x v="0"/>
    <x v="1"/>
    <x v="0"/>
    <n v="1"/>
    <n v="1"/>
    <n v="1"/>
    <n v="1"/>
    <n v="1010.4"/>
    <n v="0"/>
    <n v="0"/>
    <n v="0"/>
    <n v="4"/>
    <n v="42.9"/>
  </r>
  <r>
    <s v="USR-100834"/>
    <d v="2025-04-21T00:00:00"/>
    <x v="1"/>
    <x v="2"/>
    <x v="1"/>
    <x v="1"/>
    <x v="1"/>
    <n v="1"/>
    <n v="1"/>
    <n v="1"/>
    <n v="0"/>
    <n v="0"/>
    <n v="1"/>
    <n v="1"/>
    <n v="0"/>
    <m/>
    <n v="60.2"/>
  </r>
  <r>
    <s v="USR-100835"/>
    <d v="2025-05-05T00:00:00"/>
    <x v="1"/>
    <x v="2"/>
    <x v="1"/>
    <x v="2"/>
    <x v="0"/>
    <n v="1"/>
    <n v="0"/>
    <n v="0"/>
    <n v="0"/>
    <n v="0"/>
    <n v="0"/>
    <n v="0"/>
    <n v="0"/>
    <m/>
    <n v="42.7"/>
  </r>
  <r>
    <s v="USR-100836"/>
    <d v="2025-01-06T00:00:00"/>
    <x v="1"/>
    <x v="0"/>
    <x v="0"/>
    <x v="4"/>
    <x v="1"/>
    <n v="1"/>
    <n v="1"/>
    <n v="1"/>
    <n v="1"/>
    <n v="431.27"/>
    <n v="0"/>
    <n v="0"/>
    <n v="0"/>
    <n v="7"/>
    <n v="60.8"/>
  </r>
  <r>
    <s v="USR-100837"/>
    <d v="2025-04-24T00:00:00"/>
    <x v="1"/>
    <x v="3"/>
    <x v="1"/>
    <x v="3"/>
    <x v="1"/>
    <n v="1"/>
    <n v="1"/>
    <n v="1"/>
    <n v="1"/>
    <n v="428.8"/>
    <n v="0"/>
    <n v="0"/>
    <n v="0"/>
    <n v="9"/>
    <n v="79.3"/>
  </r>
  <r>
    <s v="USR-100838"/>
    <d v="2025-04-21T00:00:00"/>
    <x v="1"/>
    <x v="3"/>
    <x v="1"/>
    <x v="1"/>
    <x v="0"/>
    <n v="1"/>
    <n v="0"/>
    <n v="0"/>
    <n v="0"/>
    <n v="0"/>
    <n v="1"/>
    <n v="1"/>
    <n v="0"/>
    <m/>
    <n v="88.6"/>
  </r>
  <r>
    <s v="USR-100839"/>
    <d v="2025-02-09T00:00:00"/>
    <x v="1"/>
    <x v="1"/>
    <x v="1"/>
    <x v="1"/>
    <x v="0"/>
    <n v="1"/>
    <n v="1"/>
    <n v="1"/>
    <n v="0"/>
    <n v="0"/>
    <n v="0"/>
    <n v="0"/>
    <n v="0"/>
    <m/>
    <n v="63.1"/>
  </r>
  <r>
    <s v="USR-100840"/>
    <d v="2025-01-09T00:00:00"/>
    <x v="1"/>
    <x v="2"/>
    <x v="1"/>
    <x v="1"/>
    <x v="2"/>
    <n v="1"/>
    <n v="0"/>
    <n v="0"/>
    <n v="0"/>
    <n v="0"/>
    <n v="0"/>
    <n v="0"/>
    <n v="0"/>
    <m/>
    <n v="39.700000000000003"/>
  </r>
  <r>
    <s v="USR-100841"/>
    <d v="2025-02-16T00:00:00"/>
    <x v="1"/>
    <x v="0"/>
    <x v="1"/>
    <x v="2"/>
    <x v="0"/>
    <n v="0"/>
    <n v="0"/>
    <n v="0"/>
    <n v="0"/>
    <n v="0"/>
    <n v="0"/>
    <n v="0"/>
    <n v="0"/>
    <m/>
    <n v="67.2"/>
  </r>
  <r>
    <s v="USR-100842"/>
    <d v="2025-02-21T00:00:00"/>
    <x v="1"/>
    <x v="3"/>
    <x v="1"/>
    <x v="1"/>
    <x v="1"/>
    <n v="1"/>
    <n v="1"/>
    <n v="1"/>
    <n v="0"/>
    <n v="0"/>
    <n v="0"/>
    <n v="0"/>
    <n v="0"/>
    <m/>
    <n v="62.3"/>
  </r>
  <r>
    <s v="USR-100843"/>
    <d v="2025-02-08T00:00:00"/>
    <x v="1"/>
    <x v="3"/>
    <x v="1"/>
    <x v="1"/>
    <x v="2"/>
    <n v="1"/>
    <n v="0"/>
    <n v="0"/>
    <n v="0"/>
    <n v="0"/>
    <n v="0"/>
    <n v="0"/>
    <n v="0"/>
    <m/>
    <m/>
  </r>
  <r>
    <s v="USR-100844"/>
    <d v="2025-01-22T00:00:00"/>
    <x v="1"/>
    <x v="3"/>
    <x v="1"/>
    <x v="2"/>
    <x v="2"/>
    <n v="0"/>
    <n v="0"/>
    <n v="0"/>
    <n v="0"/>
    <n v="0"/>
    <n v="0"/>
    <n v="0"/>
    <n v="0"/>
    <m/>
    <n v="60.7"/>
  </r>
  <r>
    <s v="USR-100845"/>
    <d v="2025-04-01T00:00:00"/>
    <x v="1"/>
    <x v="1"/>
    <x v="1"/>
    <x v="1"/>
    <x v="0"/>
    <n v="1"/>
    <n v="0"/>
    <n v="0"/>
    <n v="0"/>
    <n v="0"/>
    <n v="0"/>
    <n v="0"/>
    <n v="0"/>
    <m/>
    <n v="61.5"/>
  </r>
  <r>
    <s v="USR-100846"/>
    <d v="2025-01-21T00:00:00"/>
    <x v="1"/>
    <x v="0"/>
    <x v="1"/>
    <x v="2"/>
    <x v="0"/>
    <n v="1"/>
    <n v="0"/>
    <n v="0"/>
    <n v="0"/>
    <n v="0"/>
    <n v="0"/>
    <n v="0"/>
    <n v="0"/>
    <m/>
    <n v="75"/>
  </r>
  <r>
    <s v="USR-100847"/>
    <d v="2025-01-02T00:00:00"/>
    <x v="1"/>
    <x v="2"/>
    <x v="0"/>
    <x v="1"/>
    <x v="1"/>
    <n v="1"/>
    <n v="1"/>
    <n v="0"/>
    <n v="0"/>
    <n v="0"/>
    <n v="0"/>
    <n v="0"/>
    <n v="0"/>
    <m/>
    <n v="51.9"/>
  </r>
  <r>
    <s v="USR-100848"/>
    <d v="2025-05-12T00:00:00"/>
    <x v="1"/>
    <x v="3"/>
    <x v="0"/>
    <x v="2"/>
    <x v="1"/>
    <n v="0"/>
    <n v="0"/>
    <n v="0"/>
    <n v="0"/>
    <n v="0"/>
    <n v="0"/>
    <n v="0"/>
    <n v="0"/>
    <m/>
    <n v="34.5"/>
  </r>
  <r>
    <s v="USR-100849"/>
    <d v="2025-03-05T00:00:00"/>
    <x v="1"/>
    <x v="3"/>
    <x v="1"/>
    <x v="4"/>
    <x v="0"/>
    <n v="0"/>
    <n v="0"/>
    <n v="0"/>
    <n v="0"/>
    <n v="0"/>
    <n v="0"/>
    <n v="0"/>
    <n v="0"/>
    <m/>
    <n v="54.5"/>
  </r>
  <r>
    <s v="USR-100850"/>
    <d v="2025-01-24T00:00:00"/>
    <x v="1"/>
    <x v="2"/>
    <x v="1"/>
    <x v="1"/>
    <x v="1"/>
    <n v="0"/>
    <n v="0"/>
    <n v="0"/>
    <n v="0"/>
    <n v="0"/>
    <n v="0"/>
    <n v="0"/>
    <n v="0"/>
    <m/>
    <n v="46"/>
  </r>
  <r>
    <s v="USR-100851"/>
    <d v="2025-01-31T00:00:00"/>
    <x v="1"/>
    <x v="2"/>
    <x v="0"/>
    <x v="0"/>
    <x v="1"/>
    <n v="1"/>
    <n v="1"/>
    <n v="1"/>
    <n v="0"/>
    <n v="0"/>
    <n v="0"/>
    <n v="0"/>
    <n v="0"/>
    <m/>
    <n v="88.4"/>
  </r>
  <r>
    <s v="USR-100852"/>
    <d v="2025-01-24T00:00:00"/>
    <x v="1"/>
    <x v="0"/>
    <x v="2"/>
    <x v="1"/>
    <x v="0"/>
    <n v="1"/>
    <n v="0"/>
    <n v="0"/>
    <n v="0"/>
    <n v="0"/>
    <n v="0"/>
    <n v="0"/>
    <n v="0"/>
    <m/>
    <n v="69.5"/>
  </r>
  <r>
    <s v="USR-100853"/>
    <d v="2025-02-14T00:00:00"/>
    <x v="1"/>
    <x v="0"/>
    <x v="0"/>
    <x v="3"/>
    <x v="0"/>
    <n v="1"/>
    <n v="1"/>
    <n v="1"/>
    <n v="0"/>
    <n v="0"/>
    <n v="0"/>
    <n v="0"/>
    <n v="0"/>
    <m/>
    <n v="74.2"/>
  </r>
  <r>
    <s v="USR-100854"/>
    <d v="2025-05-27T00:00:00"/>
    <x v="1"/>
    <x v="0"/>
    <x v="1"/>
    <x v="1"/>
    <x v="1"/>
    <n v="1"/>
    <n v="1"/>
    <n v="1"/>
    <n v="0"/>
    <n v="0"/>
    <n v="0"/>
    <n v="0"/>
    <n v="0"/>
    <m/>
    <n v="72.099999999999994"/>
  </r>
  <r>
    <s v="USR-100855"/>
    <d v="2025-02-28T00:00:00"/>
    <x v="1"/>
    <x v="0"/>
    <x v="1"/>
    <x v="2"/>
    <x v="1"/>
    <n v="1"/>
    <n v="1"/>
    <n v="1"/>
    <n v="1"/>
    <n v="398.33"/>
    <n v="0"/>
    <n v="0"/>
    <n v="0"/>
    <n v="5"/>
    <n v="85.1"/>
  </r>
  <r>
    <s v="USR-100856"/>
    <d v="2025-05-27T00:00:00"/>
    <x v="1"/>
    <x v="0"/>
    <x v="1"/>
    <x v="1"/>
    <x v="0"/>
    <n v="1"/>
    <n v="1"/>
    <n v="1"/>
    <n v="0"/>
    <n v="0"/>
    <n v="0"/>
    <n v="0"/>
    <n v="0"/>
    <m/>
    <n v="49.5"/>
  </r>
  <r>
    <s v="USR-100857"/>
    <d v="2025-05-17T00:00:00"/>
    <x v="1"/>
    <x v="3"/>
    <x v="1"/>
    <x v="2"/>
    <x v="2"/>
    <n v="0"/>
    <n v="0"/>
    <n v="0"/>
    <n v="0"/>
    <n v="0"/>
    <n v="1"/>
    <n v="1"/>
    <n v="0"/>
    <m/>
    <n v="79"/>
  </r>
  <r>
    <s v="USR-100858"/>
    <d v="2025-01-10T00:00:00"/>
    <x v="1"/>
    <x v="1"/>
    <x v="0"/>
    <x v="4"/>
    <x v="1"/>
    <n v="0"/>
    <n v="0"/>
    <n v="0"/>
    <n v="0"/>
    <n v="0"/>
    <n v="0"/>
    <n v="0"/>
    <n v="0"/>
    <m/>
    <n v="71.8"/>
  </r>
  <r>
    <s v="USR-100859"/>
    <d v="2025-04-22T00:00:00"/>
    <x v="1"/>
    <x v="0"/>
    <x v="1"/>
    <x v="0"/>
    <x v="0"/>
    <n v="1"/>
    <n v="1"/>
    <n v="1"/>
    <n v="1"/>
    <n v="1117.54"/>
    <n v="0"/>
    <n v="0"/>
    <n v="0"/>
    <n v="6"/>
    <n v="60.4"/>
  </r>
  <r>
    <s v="USR-100860"/>
    <d v="2025-03-02T00:00:00"/>
    <x v="1"/>
    <x v="3"/>
    <x v="0"/>
    <x v="1"/>
    <x v="0"/>
    <n v="1"/>
    <n v="0"/>
    <n v="0"/>
    <n v="0"/>
    <n v="0"/>
    <n v="2"/>
    <n v="1"/>
    <n v="0"/>
    <m/>
    <n v="38.299999999999997"/>
  </r>
  <r>
    <s v="USR-100861"/>
    <d v="2025-03-23T00:00:00"/>
    <x v="1"/>
    <x v="2"/>
    <x v="1"/>
    <x v="2"/>
    <x v="1"/>
    <n v="1"/>
    <n v="1"/>
    <n v="1"/>
    <n v="0"/>
    <n v="0"/>
    <n v="0"/>
    <n v="0"/>
    <n v="0"/>
    <m/>
    <n v="79.599999999999994"/>
  </r>
  <r>
    <s v="USR-100862"/>
    <d v="2025-02-12T00:00:00"/>
    <x v="1"/>
    <x v="2"/>
    <x v="1"/>
    <x v="0"/>
    <x v="1"/>
    <n v="1"/>
    <n v="1"/>
    <n v="1"/>
    <n v="0"/>
    <n v="0"/>
    <n v="0"/>
    <n v="0"/>
    <n v="0"/>
    <m/>
    <n v="71.900000000000006"/>
  </r>
  <r>
    <s v="USR-100863"/>
    <d v="2025-05-03T00:00:00"/>
    <x v="1"/>
    <x v="3"/>
    <x v="1"/>
    <x v="3"/>
    <x v="0"/>
    <n v="1"/>
    <n v="0"/>
    <n v="0"/>
    <n v="0"/>
    <n v="0"/>
    <n v="0"/>
    <n v="0"/>
    <n v="0"/>
    <m/>
    <n v="54.6"/>
  </r>
  <r>
    <s v="USR-100864"/>
    <d v="2025-03-28T00:00:00"/>
    <x v="1"/>
    <x v="0"/>
    <x v="0"/>
    <x v="4"/>
    <x v="1"/>
    <n v="1"/>
    <n v="0"/>
    <n v="0"/>
    <n v="0"/>
    <n v="0"/>
    <n v="3"/>
    <n v="1"/>
    <n v="0"/>
    <m/>
    <n v="49.3"/>
  </r>
  <r>
    <s v="USR-100865"/>
    <d v="2025-03-12T00:00:00"/>
    <x v="1"/>
    <x v="0"/>
    <x v="1"/>
    <x v="4"/>
    <x v="0"/>
    <n v="0"/>
    <n v="0"/>
    <n v="0"/>
    <n v="0"/>
    <n v="0"/>
    <n v="1"/>
    <n v="1"/>
    <n v="0"/>
    <m/>
    <n v="66.900000000000006"/>
  </r>
  <r>
    <s v="USR-100866"/>
    <d v="2025-04-27T00:00:00"/>
    <x v="1"/>
    <x v="2"/>
    <x v="1"/>
    <x v="2"/>
    <x v="1"/>
    <n v="1"/>
    <n v="0"/>
    <n v="0"/>
    <n v="0"/>
    <n v="0"/>
    <n v="1"/>
    <n v="1"/>
    <n v="0"/>
    <m/>
    <n v="77.8"/>
  </r>
  <r>
    <s v="USR-100867"/>
    <d v="2025-04-02T00:00:00"/>
    <x v="1"/>
    <x v="3"/>
    <x v="1"/>
    <x v="3"/>
    <x v="0"/>
    <n v="1"/>
    <n v="0"/>
    <n v="0"/>
    <n v="0"/>
    <n v="0"/>
    <n v="0"/>
    <n v="0"/>
    <n v="0"/>
    <m/>
    <n v="63"/>
  </r>
  <r>
    <s v="USR-100868"/>
    <d v="2025-04-21T00:00:00"/>
    <x v="1"/>
    <x v="0"/>
    <x v="1"/>
    <x v="4"/>
    <x v="1"/>
    <n v="0"/>
    <n v="0"/>
    <n v="0"/>
    <n v="0"/>
    <n v="0"/>
    <n v="0"/>
    <n v="0"/>
    <n v="0"/>
    <m/>
    <n v="79.8"/>
  </r>
  <r>
    <s v="USR-100869"/>
    <d v="2025-01-26T00:00:00"/>
    <x v="1"/>
    <x v="1"/>
    <x v="0"/>
    <x v="1"/>
    <x v="0"/>
    <n v="0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x v="1"/>
    <n v="0"/>
    <n v="0"/>
    <n v="0"/>
    <n v="0"/>
    <n v="0"/>
    <n v="1"/>
    <n v="1"/>
    <n v="0"/>
    <m/>
    <n v="66.400000000000006"/>
  </r>
  <r>
    <s v="USR-100871"/>
    <d v="2025-02-07T00:00:00"/>
    <x v="1"/>
    <x v="2"/>
    <x v="1"/>
    <x v="1"/>
    <x v="1"/>
    <n v="1"/>
    <n v="0"/>
    <n v="0"/>
    <n v="0"/>
    <n v="0"/>
    <n v="0"/>
    <n v="0"/>
    <n v="0"/>
    <m/>
    <n v="27.6"/>
  </r>
  <r>
    <s v="USR-100872"/>
    <d v="2025-05-07T00:00:00"/>
    <x v="1"/>
    <x v="1"/>
    <x v="1"/>
    <x v="1"/>
    <x v="2"/>
    <n v="1"/>
    <n v="0"/>
    <n v="0"/>
    <n v="0"/>
    <n v="0"/>
    <n v="1"/>
    <n v="1"/>
    <n v="0"/>
    <m/>
    <n v="56.5"/>
  </r>
  <r>
    <s v="USR-100873"/>
    <d v="2025-04-22T00:00:00"/>
    <x v="1"/>
    <x v="1"/>
    <x v="3"/>
    <x v="4"/>
    <x v="1"/>
    <n v="1"/>
    <n v="0"/>
    <n v="0"/>
    <n v="0"/>
    <n v="0"/>
    <n v="0"/>
    <n v="0"/>
    <n v="0"/>
    <m/>
    <n v="67.8"/>
  </r>
  <r>
    <s v="USR-100874"/>
    <d v="2025-05-04T00:00:00"/>
    <x v="1"/>
    <x v="1"/>
    <x v="0"/>
    <x v="4"/>
    <x v="1"/>
    <n v="1"/>
    <n v="0"/>
    <n v="0"/>
    <n v="0"/>
    <n v="0"/>
    <n v="0"/>
    <n v="0"/>
    <n v="0"/>
    <m/>
    <n v="80"/>
  </r>
  <r>
    <s v="USR-100875"/>
    <d v="2025-05-16T00:00:00"/>
    <x v="1"/>
    <x v="3"/>
    <x v="1"/>
    <x v="4"/>
    <x v="0"/>
    <n v="1"/>
    <n v="1"/>
    <n v="1"/>
    <n v="0"/>
    <n v="0"/>
    <n v="1"/>
    <n v="1"/>
    <n v="0"/>
    <m/>
    <n v="80.900000000000006"/>
  </r>
  <r>
    <s v="USR-100876"/>
    <d v="2025-02-11T00:00:00"/>
    <x v="1"/>
    <x v="1"/>
    <x v="1"/>
    <x v="2"/>
    <x v="1"/>
    <n v="0"/>
    <n v="0"/>
    <n v="0"/>
    <n v="0"/>
    <n v="0"/>
    <n v="0"/>
    <n v="0"/>
    <n v="0"/>
    <m/>
    <n v="34.5"/>
  </r>
  <r>
    <s v="USR-100877"/>
    <d v="2025-05-09T00:00:00"/>
    <x v="1"/>
    <x v="2"/>
    <x v="0"/>
    <x v="1"/>
    <x v="2"/>
    <n v="1"/>
    <n v="0"/>
    <n v="0"/>
    <n v="0"/>
    <n v="0"/>
    <n v="0"/>
    <n v="0"/>
    <n v="0"/>
    <m/>
    <n v="73.5"/>
  </r>
  <r>
    <s v="USR-100878"/>
    <d v="2025-02-09T00:00:00"/>
    <x v="1"/>
    <x v="3"/>
    <x v="0"/>
    <x v="2"/>
    <x v="1"/>
    <n v="1"/>
    <n v="1"/>
    <n v="0"/>
    <n v="0"/>
    <n v="0"/>
    <n v="0"/>
    <n v="0"/>
    <n v="0"/>
    <m/>
    <n v="70"/>
  </r>
  <r>
    <s v="USR-100879"/>
    <d v="2025-05-22T00:00:00"/>
    <x v="1"/>
    <x v="1"/>
    <x v="1"/>
    <x v="4"/>
    <x v="0"/>
    <n v="0"/>
    <n v="0"/>
    <n v="0"/>
    <n v="0"/>
    <n v="0"/>
    <n v="0"/>
    <n v="0"/>
    <n v="0"/>
    <m/>
    <n v="86.9"/>
  </r>
  <r>
    <s v="USR-100880"/>
    <d v="2025-05-24T00:00:00"/>
    <x v="1"/>
    <x v="2"/>
    <x v="1"/>
    <x v="4"/>
    <x v="0"/>
    <n v="0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x v="0"/>
    <n v="1"/>
    <n v="1"/>
    <n v="1"/>
    <n v="0"/>
    <n v="0"/>
    <n v="0"/>
    <n v="0"/>
    <n v="0"/>
    <m/>
    <n v="58.3"/>
  </r>
  <r>
    <s v="USR-100882"/>
    <d v="2025-03-19T00:00:00"/>
    <x v="1"/>
    <x v="2"/>
    <x v="1"/>
    <x v="2"/>
    <x v="1"/>
    <n v="1"/>
    <n v="0"/>
    <n v="0"/>
    <n v="0"/>
    <n v="0"/>
    <n v="0"/>
    <n v="0"/>
    <n v="0"/>
    <m/>
    <n v="45"/>
  </r>
  <r>
    <s v="USR-100883"/>
    <d v="2025-05-20T00:00:00"/>
    <x v="1"/>
    <x v="3"/>
    <x v="1"/>
    <x v="1"/>
    <x v="2"/>
    <n v="0"/>
    <n v="0"/>
    <n v="0"/>
    <n v="0"/>
    <n v="0"/>
    <n v="0"/>
    <n v="0"/>
    <n v="0"/>
    <m/>
    <n v="60.8"/>
  </r>
  <r>
    <s v="USR-100884"/>
    <d v="2025-05-10T00:00:00"/>
    <x v="1"/>
    <x v="0"/>
    <x v="1"/>
    <x v="0"/>
    <x v="2"/>
    <n v="1"/>
    <n v="0"/>
    <n v="0"/>
    <n v="0"/>
    <n v="0"/>
    <n v="4"/>
    <n v="1"/>
    <n v="0"/>
    <m/>
    <n v="53.7"/>
  </r>
  <r>
    <s v="USR-100885"/>
    <d v="2025-03-29T00:00:00"/>
    <x v="1"/>
    <x v="2"/>
    <x v="1"/>
    <x v="4"/>
    <x v="1"/>
    <n v="1"/>
    <n v="1"/>
    <n v="1"/>
    <n v="0"/>
    <n v="0"/>
    <n v="0"/>
    <n v="0"/>
    <n v="0"/>
    <m/>
    <n v="48.8"/>
  </r>
  <r>
    <s v="USR-100886"/>
    <d v="2025-04-03T00:00:00"/>
    <x v="1"/>
    <x v="1"/>
    <x v="0"/>
    <x v="3"/>
    <x v="0"/>
    <n v="0"/>
    <n v="0"/>
    <n v="0"/>
    <n v="0"/>
    <n v="0"/>
    <n v="0"/>
    <n v="0"/>
    <n v="0"/>
    <m/>
    <n v="52.9"/>
  </r>
  <r>
    <s v="USR-100887"/>
    <d v="2025-05-30T00:00:00"/>
    <x v="1"/>
    <x v="3"/>
    <x v="1"/>
    <x v="0"/>
    <x v="1"/>
    <n v="1"/>
    <n v="0"/>
    <n v="0"/>
    <n v="0"/>
    <n v="0"/>
    <n v="0"/>
    <n v="0"/>
    <n v="0"/>
    <m/>
    <n v="42.4"/>
  </r>
  <r>
    <s v="USR-100888"/>
    <d v="2025-04-06T00:00:00"/>
    <x v="1"/>
    <x v="2"/>
    <x v="0"/>
    <x v="0"/>
    <x v="1"/>
    <n v="1"/>
    <n v="0"/>
    <n v="0"/>
    <n v="0"/>
    <n v="0"/>
    <n v="0"/>
    <n v="0"/>
    <n v="0"/>
    <m/>
    <n v="58.7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0"/>
    <n v="1"/>
    <n v="67.8"/>
  </r>
  <r>
    <s v="USR-100890"/>
    <d v="2025-02-24T00:00:00"/>
    <x v="1"/>
    <x v="3"/>
    <x v="0"/>
    <x v="2"/>
    <x v="0"/>
    <n v="1"/>
    <n v="0"/>
    <n v="0"/>
    <n v="0"/>
    <n v="0"/>
    <n v="0"/>
    <n v="0"/>
    <n v="0"/>
    <m/>
    <n v="62.6"/>
  </r>
  <r>
    <s v="USR-100891"/>
    <d v="2025-03-04T00:00:00"/>
    <x v="1"/>
    <x v="1"/>
    <x v="1"/>
    <x v="0"/>
    <x v="0"/>
    <n v="1"/>
    <n v="0"/>
    <n v="0"/>
    <n v="0"/>
    <n v="0"/>
    <n v="0"/>
    <n v="0"/>
    <n v="0"/>
    <m/>
    <n v="82.4"/>
  </r>
  <r>
    <s v="USR-100892"/>
    <d v="2025-04-02T00:00:00"/>
    <x v="1"/>
    <x v="0"/>
    <x v="1"/>
    <x v="1"/>
    <x v="1"/>
    <n v="1"/>
    <n v="1"/>
    <n v="1"/>
    <n v="0"/>
    <n v="0"/>
    <n v="0"/>
    <n v="0"/>
    <n v="0"/>
    <m/>
    <n v="50.4"/>
  </r>
  <r>
    <s v="USR-100893"/>
    <d v="2025-05-11T00:00:00"/>
    <x v="1"/>
    <x v="0"/>
    <x v="1"/>
    <x v="0"/>
    <x v="2"/>
    <n v="0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x v="0"/>
    <n v="1"/>
    <n v="1"/>
    <n v="1"/>
    <n v="0"/>
    <n v="0"/>
    <n v="0"/>
    <n v="0"/>
    <n v="0"/>
    <m/>
    <n v="58.8"/>
  </r>
  <r>
    <s v="USR-100895"/>
    <d v="2025-05-06T00:00:00"/>
    <x v="1"/>
    <x v="1"/>
    <x v="1"/>
    <x v="3"/>
    <x v="1"/>
    <n v="1"/>
    <n v="1"/>
    <n v="0"/>
    <n v="0"/>
    <n v="0"/>
    <n v="2"/>
    <n v="1"/>
    <n v="0"/>
    <m/>
    <n v="28.3"/>
  </r>
  <r>
    <s v="USR-100896"/>
    <d v="2025-02-11T00:00:00"/>
    <x v="1"/>
    <x v="1"/>
    <x v="0"/>
    <x v="2"/>
    <x v="1"/>
    <n v="1"/>
    <n v="1"/>
    <n v="0"/>
    <n v="0"/>
    <n v="0"/>
    <n v="0"/>
    <n v="0"/>
    <n v="0"/>
    <m/>
    <n v="44.1"/>
  </r>
  <r>
    <s v="USR-100897"/>
    <d v="2025-05-09T00:00:00"/>
    <x v="1"/>
    <x v="3"/>
    <x v="1"/>
    <x v="2"/>
    <x v="2"/>
    <n v="1"/>
    <n v="1"/>
    <n v="0"/>
    <n v="0"/>
    <n v="0"/>
    <n v="0"/>
    <n v="0"/>
    <n v="0"/>
    <m/>
    <n v="66.7"/>
  </r>
  <r>
    <s v="USR-100898"/>
    <d v="2025-02-02T00:00:00"/>
    <x v="1"/>
    <x v="3"/>
    <x v="1"/>
    <x v="5"/>
    <x v="1"/>
    <n v="1"/>
    <n v="0"/>
    <n v="0"/>
    <n v="0"/>
    <n v="0"/>
    <n v="0"/>
    <n v="0"/>
    <n v="0"/>
    <m/>
    <n v="100"/>
  </r>
  <r>
    <s v="USR-100899"/>
    <d v="2025-04-03T00:00:00"/>
    <x v="1"/>
    <x v="3"/>
    <x v="1"/>
    <x v="4"/>
    <x v="1"/>
    <n v="1"/>
    <n v="1"/>
    <n v="0"/>
    <n v="0"/>
    <n v="0"/>
    <n v="0"/>
    <n v="0"/>
    <n v="0"/>
    <m/>
    <n v="87.5"/>
  </r>
  <r>
    <s v="USR-100900"/>
    <d v="2025-02-15T00:00:00"/>
    <x v="1"/>
    <x v="0"/>
    <x v="0"/>
    <x v="1"/>
    <x v="0"/>
    <n v="1"/>
    <n v="0"/>
    <n v="0"/>
    <n v="0"/>
    <n v="0"/>
    <n v="2"/>
    <n v="1"/>
    <n v="0"/>
    <m/>
    <n v="65.400000000000006"/>
  </r>
  <r>
    <s v="USR-100901"/>
    <d v="2025-04-18T00:00:00"/>
    <x v="1"/>
    <x v="3"/>
    <x v="0"/>
    <x v="1"/>
    <x v="1"/>
    <n v="1"/>
    <n v="0"/>
    <n v="0"/>
    <n v="0"/>
    <n v="0"/>
    <n v="0"/>
    <n v="0"/>
    <n v="0"/>
    <m/>
    <n v="22.9"/>
  </r>
  <r>
    <s v="USR-100902"/>
    <d v="2025-03-14T00:00:00"/>
    <x v="1"/>
    <x v="1"/>
    <x v="0"/>
    <x v="1"/>
    <x v="2"/>
    <n v="0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x v="1"/>
    <n v="1"/>
    <n v="0"/>
    <n v="0"/>
    <n v="0"/>
    <n v="0"/>
    <n v="2"/>
    <n v="1"/>
    <n v="0"/>
    <m/>
    <n v="54.4"/>
  </r>
  <r>
    <s v="USR-100904"/>
    <d v="2025-02-13T00:00:00"/>
    <x v="1"/>
    <x v="0"/>
    <x v="0"/>
    <x v="1"/>
    <x v="1"/>
    <n v="1"/>
    <n v="1"/>
    <n v="1"/>
    <n v="0"/>
    <n v="0"/>
    <n v="0"/>
    <n v="0"/>
    <n v="0"/>
    <m/>
    <n v="56.8"/>
  </r>
  <r>
    <s v="USR-100905"/>
    <d v="2025-01-23T00:00:00"/>
    <x v="1"/>
    <x v="3"/>
    <x v="1"/>
    <x v="2"/>
    <x v="1"/>
    <n v="1"/>
    <n v="1"/>
    <n v="1"/>
    <n v="1"/>
    <n v="341.38"/>
    <n v="0"/>
    <n v="0"/>
    <n v="0"/>
    <n v="2"/>
    <n v="63.6"/>
  </r>
  <r>
    <s v="USR-100906"/>
    <d v="2025-02-24T00:00:00"/>
    <x v="1"/>
    <x v="2"/>
    <x v="1"/>
    <x v="4"/>
    <x v="1"/>
    <n v="1"/>
    <n v="0"/>
    <n v="0"/>
    <n v="0"/>
    <n v="0"/>
    <n v="0"/>
    <n v="0"/>
    <n v="0"/>
    <m/>
    <n v="58.2"/>
  </r>
  <r>
    <s v="USR-100907"/>
    <d v="2025-02-28T00:00:00"/>
    <x v="1"/>
    <x v="1"/>
    <x v="1"/>
    <x v="2"/>
    <x v="1"/>
    <n v="1"/>
    <n v="1"/>
    <n v="0"/>
    <n v="0"/>
    <n v="0"/>
    <n v="0"/>
    <n v="0"/>
    <n v="0"/>
    <m/>
    <n v="54.6"/>
  </r>
  <r>
    <s v="USR-100908"/>
    <d v="2025-01-07T00:00:00"/>
    <x v="1"/>
    <x v="1"/>
    <x v="2"/>
    <x v="1"/>
    <x v="0"/>
    <n v="1"/>
    <n v="0"/>
    <n v="0"/>
    <n v="0"/>
    <n v="0"/>
    <n v="0"/>
    <n v="0"/>
    <n v="0"/>
    <m/>
    <n v="81.900000000000006"/>
  </r>
  <r>
    <s v="USR-100909"/>
    <d v="2025-03-21T00:00:00"/>
    <x v="1"/>
    <x v="1"/>
    <x v="0"/>
    <x v="0"/>
    <x v="1"/>
    <n v="1"/>
    <n v="0"/>
    <n v="0"/>
    <n v="0"/>
    <n v="0"/>
    <n v="3"/>
    <n v="1"/>
    <n v="0"/>
    <m/>
    <n v="53.3"/>
  </r>
  <r>
    <s v="USR-100910"/>
    <d v="2025-02-18T00:00:00"/>
    <x v="1"/>
    <x v="0"/>
    <x v="0"/>
    <x v="1"/>
    <x v="0"/>
    <n v="0"/>
    <n v="0"/>
    <n v="0"/>
    <n v="0"/>
    <n v="0"/>
    <n v="0"/>
    <n v="0"/>
    <n v="0"/>
    <m/>
    <n v="54.2"/>
  </r>
  <r>
    <s v="USR-100911"/>
    <d v="2025-01-05T00:00:00"/>
    <x v="1"/>
    <x v="0"/>
    <x v="1"/>
    <x v="2"/>
    <x v="1"/>
    <n v="1"/>
    <n v="1"/>
    <n v="0"/>
    <n v="0"/>
    <n v="0"/>
    <n v="0"/>
    <n v="0"/>
    <n v="0"/>
    <m/>
    <n v="65.599999999999994"/>
  </r>
  <r>
    <s v="USR-100912"/>
    <d v="2025-03-11T00:00:00"/>
    <x v="1"/>
    <x v="2"/>
    <x v="0"/>
    <x v="1"/>
    <x v="0"/>
    <n v="1"/>
    <n v="0"/>
    <n v="0"/>
    <n v="0"/>
    <n v="0"/>
    <n v="1"/>
    <n v="1"/>
    <n v="0"/>
    <m/>
    <n v="56.5"/>
  </r>
  <r>
    <s v="USR-100913"/>
    <d v="2025-01-09T00:00:00"/>
    <x v="1"/>
    <x v="0"/>
    <x v="0"/>
    <x v="1"/>
    <x v="0"/>
    <n v="1"/>
    <n v="0"/>
    <n v="0"/>
    <n v="0"/>
    <n v="0"/>
    <n v="0"/>
    <n v="0"/>
    <n v="0"/>
    <m/>
    <n v="59.7"/>
  </r>
  <r>
    <s v="USR-100914"/>
    <d v="2025-01-08T00:00:00"/>
    <x v="1"/>
    <x v="3"/>
    <x v="1"/>
    <x v="1"/>
    <x v="1"/>
    <n v="1"/>
    <n v="1"/>
    <n v="1"/>
    <n v="0"/>
    <n v="0"/>
    <n v="0"/>
    <n v="0"/>
    <n v="0"/>
    <m/>
    <n v="72.5"/>
  </r>
  <r>
    <s v="USR-100915"/>
    <d v="2025-05-01T00:00:00"/>
    <x v="1"/>
    <x v="2"/>
    <x v="0"/>
    <x v="2"/>
    <x v="1"/>
    <n v="1"/>
    <n v="0"/>
    <n v="0"/>
    <n v="0"/>
    <n v="0"/>
    <n v="0"/>
    <n v="0"/>
    <n v="0"/>
    <m/>
    <n v="64.3"/>
  </r>
  <r>
    <s v="USR-100916"/>
    <d v="2025-03-03T00:00:00"/>
    <x v="1"/>
    <x v="3"/>
    <x v="1"/>
    <x v="4"/>
    <x v="1"/>
    <n v="1"/>
    <n v="0"/>
    <n v="0"/>
    <n v="0"/>
    <n v="0"/>
    <n v="0"/>
    <n v="0"/>
    <n v="0"/>
    <m/>
    <n v="64.5"/>
  </r>
  <r>
    <s v="USR-100917"/>
    <d v="2025-02-23T00:00:00"/>
    <x v="1"/>
    <x v="1"/>
    <x v="0"/>
    <x v="4"/>
    <x v="0"/>
    <n v="1"/>
    <n v="1"/>
    <n v="1"/>
    <n v="0"/>
    <n v="0"/>
    <n v="0"/>
    <n v="0"/>
    <n v="0"/>
    <m/>
    <n v="70.599999999999994"/>
  </r>
  <r>
    <s v="USR-100918"/>
    <d v="2025-02-17T00:00:00"/>
    <x v="1"/>
    <x v="3"/>
    <x v="0"/>
    <x v="1"/>
    <x v="0"/>
    <n v="0"/>
    <n v="0"/>
    <n v="0"/>
    <n v="0"/>
    <n v="0"/>
    <n v="0"/>
    <n v="0"/>
    <n v="0"/>
    <m/>
    <n v="58.4"/>
  </r>
  <r>
    <s v="USR-100919"/>
    <d v="2025-05-21T00:00:00"/>
    <x v="1"/>
    <x v="2"/>
    <x v="1"/>
    <x v="1"/>
    <x v="0"/>
    <n v="1"/>
    <n v="0"/>
    <n v="0"/>
    <n v="0"/>
    <n v="0"/>
    <n v="0"/>
    <n v="0"/>
    <n v="0"/>
    <m/>
    <n v="56.6"/>
  </r>
  <r>
    <s v="USR-100920"/>
    <d v="2025-01-30T00:00:00"/>
    <x v="1"/>
    <x v="3"/>
    <x v="1"/>
    <x v="1"/>
    <x v="1"/>
    <n v="1"/>
    <n v="0"/>
    <n v="0"/>
    <n v="0"/>
    <n v="0"/>
    <n v="0"/>
    <n v="0"/>
    <n v="0"/>
    <m/>
    <n v="61.8"/>
  </r>
  <r>
    <s v="USR-100921"/>
    <d v="2025-03-20T00:00:00"/>
    <x v="1"/>
    <x v="1"/>
    <x v="1"/>
    <x v="0"/>
    <x v="1"/>
    <n v="1"/>
    <n v="1"/>
    <n v="1"/>
    <n v="1"/>
    <n v="513.52"/>
    <n v="0"/>
    <n v="0"/>
    <n v="0"/>
    <n v="8"/>
    <n v="43.4"/>
  </r>
  <r>
    <s v="USR-100922"/>
    <d v="2025-04-10T00:00:00"/>
    <x v="1"/>
    <x v="1"/>
    <x v="2"/>
    <x v="2"/>
    <x v="1"/>
    <n v="0"/>
    <n v="0"/>
    <n v="0"/>
    <n v="0"/>
    <n v="0"/>
    <n v="0"/>
    <n v="0"/>
    <n v="0"/>
    <m/>
    <n v="43"/>
  </r>
  <r>
    <s v="USR-100923"/>
    <d v="2025-03-07T00:00:00"/>
    <x v="1"/>
    <x v="0"/>
    <x v="0"/>
    <x v="1"/>
    <x v="1"/>
    <n v="1"/>
    <n v="1"/>
    <n v="1"/>
    <n v="0"/>
    <n v="0"/>
    <n v="0"/>
    <n v="0"/>
    <n v="0"/>
    <m/>
    <n v="51.1"/>
  </r>
  <r>
    <s v="USR-100924"/>
    <d v="2025-03-12T00:00:00"/>
    <x v="1"/>
    <x v="1"/>
    <x v="1"/>
    <x v="0"/>
    <x v="0"/>
    <n v="1"/>
    <n v="0"/>
    <n v="0"/>
    <n v="0"/>
    <n v="0"/>
    <n v="0"/>
    <n v="0"/>
    <n v="0"/>
    <m/>
    <n v="48.8"/>
  </r>
  <r>
    <s v="USR-100925"/>
    <d v="2025-02-24T00:00:00"/>
    <x v="1"/>
    <x v="2"/>
    <x v="1"/>
    <x v="3"/>
    <x v="1"/>
    <n v="0"/>
    <n v="0"/>
    <n v="0"/>
    <n v="0"/>
    <n v="0"/>
    <n v="0"/>
    <n v="0"/>
    <n v="0"/>
    <m/>
    <n v="73.2"/>
  </r>
  <r>
    <s v="USR-100926"/>
    <d v="2025-01-15T00:00:00"/>
    <x v="1"/>
    <x v="2"/>
    <x v="1"/>
    <x v="3"/>
    <x v="1"/>
    <n v="1"/>
    <n v="1"/>
    <n v="1"/>
    <n v="0"/>
    <n v="0"/>
    <n v="0"/>
    <n v="0"/>
    <n v="0"/>
    <m/>
    <n v="80"/>
  </r>
  <r>
    <s v="USR-100927"/>
    <d v="2025-01-07T00:00:00"/>
    <x v="1"/>
    <x v="0"/>
    <x v="0"/>
    <x v="2"/>
    <x v="1"/>
    <n v="1"/>
    <n v="0"/>
    <n v="0"/>
    <n v="0"/>
    <n v="0"/>
    <n v="0"/>
    <n v="0"/>
    <n v="0"/>
    <m/>
    <n v="52.3"/>
  </r>
  <r>
    <s v="USR-100928"/>
    <d v="2025-03-02T00:00:00"/>
    <x v="1"/>
    <x v="0"/>
    <x v="0"/>
    <x v="1"/>
    <x v="1"/>
    <n v="0"/>
    <n v="0"/>
    <n v="0"/>
    <n v="0"/>
    <n v="0"/>
    <n v="0"/>
    <n v="0"/>
    <n v="0"/>
    <m/>
    <n v="49.1"/>
  </r>
  <r>
    <s v="USR-100929"/>
    <d v="2025-01-05T00:00:00"/>
    <x v="1"/>
    <x v="3"/>
    <x v="0"/>
    <x v="3"/>
    <x v="0"/>
    <n v="0"/>
    <n v="0"/>
    <n v="0"/>
    <n v="0"/>
    <n v="0"/>
    <n v="0"/>
    <n v="0"/>
    <n v="0"/>
    <m/>
    <n v="45.3"/>
  </r>
  <r>
    <s v="USR-100930"/>
    <d v="2025-03-03T00:00:00"/>
    <x v="1"/>
    <x v="3"/>
    <x v="1"/>
    <x v="1"/>
    <x v="1"/>
    <n v="1"/>
    <n v="1"/>
    <n v="0"/>
    <n v="0"/>
    <n v="0"/>
    <n v="0"/>
    <n v="0"/>
    <n v="0"/>
    <m/>
    <n v="49.1"/>
  </r>
  <r>
    <s v="USR-100931"/>
    <d v="2025-03-31T00:00:00"/>
    <x v="1"/>
    <x v="2"/>
    <x v="0"/>
    <x v="3"/>
    <x v="1"/>
    <n v="1"/>
    <n v="1"/>
    <n v="1"/>
    <n v="1"/>
    <n v="476.44"/>
    <n v="0"/>
    <n v="0"/>
    <n v="0"/>
    <n v="3"/>
    <n v="88.6"/>
  </r>
  <r>
    <s v="USR-100932"/>
    <d v="2025-01-14T00:00:00"/>
    <x v="1"/>
    <x v="2"/>
    <x v="0"/>
    <x v="2"/>
    <x v="2"/>
    <n v="0"/>
    <n v="0"/>
    <n v="0"/>
    <n v="0"/>
    <n v="0"/>
    <n v="1"/>
    <n v="1"/>
    <n v="0"/>
    <m/>
    <n v="54.4"/>
  </r>
  <r>
    <s v="USR-100933"/>
    <d v="2025-01-15T00:00:00"/>
    <x v="1"/>
    <x v="1"/>
    <x v="0"/>
    <x v="2"/>
    <x v="2"/>
    <n v="1"/>
    <n v="0"/>
    <n v="0"/>
    <n v="0"/>
    <n v="0"/>
    <n v="0"/>
    <n v="0"/>
    <n v="0"/>
    <m/>
    <n v="72.900000000000006"/>
  </r>
  <r>
    <s v="USR-100934"/>
    <d v="2025-04-25T00:00:00"/>
    <x v="1"/>
    <x v="1"/>
    <x v="0"/>
    <x v="1"/>
    <x v="1"/>
    <n v="1"/>
    <n v="0"/>
    <n v="0"/>
    <n v="0"/>
    <n v="0"/>
    <n v="0"/>
    <n v="0"/>
    <n v="0"/>
    <m/>
    <n v="53.2"/>
  </r>
  <r>
    <s v="USR-100935"/>
    <d v="2025-03-21T00:00:00"/>
    <x v="1"/>
    <x v="2"/>
    <x v="1"/>
    <x v="1"/>
    <x v="0"/>
    <n v="1"/>
    <n v="1"/>
    <n v="0"/>
    <n v="0"/>
    <n v="0"/>
    <n v="0"/>
    <n v="0"/>
    <n v="0"/>
    <m/>
    <n v="48.7"/>
  </r>
  <r>
    <s v="USR-100936"/>
    <d v="2025-04-26T00:00:00"/>
    <x v="1"/>
    <x v="3"/>
    <x v="1"/>
    <x v="2"/>
    <x v="0"/>
    <n v="1"/>
    <n v="1"/>
    <n v="1"/>
    <n v="0"/>
    <n v="0"/>
    <n v="0"/>
    <n v="0"/>
    <n v="0"/>
    <m/>
    <n v="59.9"/>
  </r>
  <r>
    <s v="USR-100937"/>
    <d v="2025-05-21T00:00:00"/>
    <x v="1"/>
    <x v="3"/>
    <x v="0"/>
    <x v="5"/>
    <x v="0"/>
    <n v="0"/>
    <n v="0"/>
    <n v="0"/>
    <n v="0"/>
    <n v="0"/>
    <n v="0"/>
    <n v="0"/>
    <n v="0"/>
    <m/>
    <n v="82"/>
  </r>
  <r>
    <s v="USR-100938"/>
    <d v="2025-04-18T00:00:00"/>
    <x v="1"/>
    <x v="2"/>
    <x v="1"/>
    <x v="2"/>
    <x v="1"/>
    <n v="0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x v="2"/>
    <n v="1"/>
    <n v="1"/>
    <n v="0"/>
    <n v="0"/>
    <n v="0"/>
    <n v="0"/>
    <n v="0"/>
    <n v="0"/>
    <m/>
    <n v="68.3"/>
  </r>
  <r>
    <s v="USR-100940"/>
    <d v="2025-05-28T00:00:00"/>
    <x v="1"/>
    <x v="1"/>
    <x v="1"/>
    <x v="1"/>
    <x v="2"/>
    <n v="0"/>
    <n v="0"/>
    <n v="0"/>
    <n v="0"/>
    <n v="0"/>
    <n v="0"/>
    <n v="0"/>
    <n v="0"/>
    <m/>
    <n v="100"/>
  </r>
  <r>
    <s v="USR-100941"/>
    <d v="2025-01-15T00:00:00"/>
    <x v="1"/>
    <x v="2"/>
    <x v="1"/>
    <x v="0"/>
    <x v="1"/>
    <n v="1"/>
    <n v="1"/>
    <n v="1"/>
    <n v="0"/>
    <n v="0"/>
    <n v="2"/>
    <n v="1"/>
    <n v="0"/>
    <m/>
    <n v="76.5"/>
  </r>
  <r>
    <s v="USR-100942"/>
    <d v="2025-01-03T00:00:00"/>
    <x v="1"/>
    <x v="3"/>
    <x v="1"/>
    <x v="1"/>
    <x v="0"/>
    <n v="1"/>
    <n v="1"/>
    <n v="0"/>
    <n v="0"/>
    <n v="0"/>
    <n v="0"/>
    <n v="0"/>
    <n v="0"/>
    <m/>
    <n v="62"/>
  </r>
  <r>
    <s v="USR-100943"/>
    <d v="2025-02-04T00:00:00"/>
    <x v="1"/>
    <x v="3"/>
    <x v="1"/>
    <x v="2"/>
    <x v="1"/>
    <n v="1"/>
    <n v="1"/>
    <n v="1"/>
    <n v="1"/>
    <n v="324.68"/>
    <n v="1"/>
    <n v="1"/>
    <n v="0"/>
    <n v="7"/>
    <n v="50.1"/>
  </r>
  <r>
    <s v="USR-100944"/>
    <d v="2025-02-22T00:00:00"/>
    <x v="1"/>
    <x v="3"/>
    <x v="1"/>
    <x v="3"/>
    <x v="2"/>
    <n v="1"/>
    <n v="0"/>
    <n v="0"/>
    <n v="0"/>
    <n v="0"/>
    <n v="0"/>
    <n v="0"/>
    <n v="0"/>
    <m/>
    <n v="62.1"/>
  </r>
  <r>
    <s v="USR-100945"/>
    <d v="2025-05-06T00:00:00"/>
    <x v="1"/>
    <x v="1"/>
    <x v="1"/>
    <x v="1"/>
    <x v="0"/>
    <n v="1"/>
    <n v="0"/>
    <n v="0"/>
    <n v="0"/>
    <n v="0"/>
    <n v="0"/>
    <n v="0"/>
    <n v="0"/>
    <m/>
    <n v="49.7"/>
  </r>
  <r>
    <s v="USR-100946"/>
    <d v="2025-01-31T00:00:00"/>
    <x v="1"/>
    <x v="3"/>
    <x v="1"/>
    <x v="1"/>
    <x v="1"/>
    <n v="1"/>
    <n v="0"/>
    <n v="0"/>
    <n v="0"/>
    <n v="0"/>
    <n v="3"/>
    <n v="1"/>
    <n v="0"/>
    <m/>
    <n v="71.099999999999994"/>
  </r>
  <r>
    <s v="USR-100947"/>
    <d v="2025-02-18T00:00:00"/>
    <x v="1"/>
    <x v="0"/>
    <x v="1"/>
    <x v="4"/>
    <x v="0"/>
    <n v="0"/>
    <n v="0"/>
    <n v="0"/>
    <n v="0"/>
    <n v="0"/>
    <n v="0"/>
    <n v="0"/>
    <n v="0"/>
    <m/>
    <n v="70.8"/>
  </r>
  <r>
    <s v="USR-100948"/>
    <d v="2025-04-23T00:00:00"/>
    <x v="1"/>
    <x v="2"/>
    <x v="1"/>
    <x v="2"/>
    <x v="1"/>
    <n v="1"/>
    <n v="1"/>
    <n v="1"/>
    <n v="1"/>
    <n v="301.98"/>
    <n v="0"/>
    <n v="0"/>
    <n v="0"/>
    <n v="10"/>
    <n v="52.2"/>
  </r>
  <r>
    <s v="USR-100949"/>
    <d v="2025-02-06T00:00:00"/>
    <x v="1"/>
    <x v="0"/>
    <x v="1"/>
    <x v="1"/>
    <x v="1"/>
    <n v="1"/>
    <n v="1"/>
    <n v="1"/>
    <n v="0"/>
    <n v="0"/>
    <n v="0"/>
    <n v="0"/>
    <n v="0"/>
    <m/>
    <n v="73"/>
  </r>
  <r>
    <s v="USR-100950"/>
    <d v="2025-04-26T00:00:00"/>
    <x v="1"/>
    <x v="3"/>
    <x v="0"/>
    <x v="2"/>
    <x v="1"/>
    <n v="0"/>
    <n v="0"/>
    <n v="0"/>
    <n v="0"/>
    <n v="0"/>
    <n v="0"/>
    <n v="0"/>
    <n v="0"/>
    <m/>
    <n v="78.2"/>
  </r>
  <r>
    <s v="USR-100951"/>
    <d v="2025-03-30T00:00:00"/>
    <x v="1"/>
    <x v="1"/>
    <x v="0"/>
    <x v="2"/>
    <x v="0"/>
    <n v="1"/>
    <n v="0"/>
    <n v="0"/>
    <n v="0"/>
    <n v="0"/>
    <n v="0"/>
    <n v="0"/>
    <n v="0"/>
    <m/>
    <n v="68.8"/>
  </r>
  <r>
    <s v="USR-100952"/>
    <d v="2025-04-13T00:00:00"/>
    <x v="1"/>
    <x v="1"/>
    <x v="1"/>
    <x v="5"/>
    <x v="2"/>
    <n v="1"/>
    <n v="0"/>
    <n v="0"/>
    <n v="0"/>
    <n v="0"/>
    <n v="0"/>
    <n v="0"/>
    <n v="0"/>
    <m/>
    <n v="57.1"/>
  </r>
  <r>
    <s v="USR-100953"/>
    <d v="2025-04-04T00:00:00"/>
    <x v="1"/>
    <x v="2"/>
    <x v="0"/>
    <x v="1"/>
    <x v="2"/>
    <n v="0"/>
    <n v="0"/>
    <n v="0"/>
    <n v="0"/>
    <n v="0"/>
    <n v="1"/>
    <n v="1"/>
    <n v="0"/>
    <m/>
    <n v="74.599999999999994"/>
  </r>
  <r>
    <s v="USR-100954"/>
    <d v="2025-04-03T00:00:00"/>
    <x v="1"/>
    <x v="0"/>
    <x v="0"/>
    <x v="3"/>
    <x v="1"/>
    <n v="1"/>
    <n v="0"/>
    <n v="0"/>
    <n v="0"/>
    <n v="0"/>
    <n v="1"/>
    <n v="1"/>
    <n v="0"/>
    <m/>
    <n v="64.099999999999994"/>
  </r>
  <r>
    <s v="USR-100955"/>
    <d v="2025-03-14T00:00:00"/>
    <x v="1"/>
    <x v="1"/>
    <x v="1"/>
    <x v="2"/>
    <x v="2"/>
    <n v="1"/>
    <n v="0"/>
    <n v="0"/>
    <n v="0"/>
    <n v="0"/>
    <n v="0"/>
    <n v="0"/>
    <n v="0"/>
    <m/>
    <n v="67.3"/>
  </r>
  <r>
    <s v="USR-100956"/>
    <d v="2025-01-14T00:00:00"/>
    <x v="1"/>
    <x v="1"/>
    <x v="1"/>
    <x v="3"/>
    <x v="1"/>
    <n v="0"/>
    <n v="0"/>
    <n v="0"/>
    <n v="0"/>
    <n v="0"/>
    <n v="2"/>
    <n v="1"/>
    <n v="0"/>
    <m/>
    <n v="41"/>
  </r>
  <r>
    <s v="USR-100957"/>
    <d v="2025-05-05T00:00:00"/>
    <x v="1"/>
    <x v="1"/>
    <x v="1"/>
    <x v="2"/>
    <x v="1"/>
    <n v="0"/>
    <n v="0"/>
    <n v="0"/>
    <n v="0"/>
    <n v="0"/>
    <n v="0"/>
    <n v="0"/>
    <n v="0"/>
    <m/>
    <n v="48.1"/>
  </r>
  <r>
    <s v="USR-100958"/>
    <d v="2025-05-02T00:00:00"/>
    <x v="1"/>
    <x v="1"/>
    <x v="0"/>
    <x v="4"/>
    <x v="1"/>
    <n v="0"/>
    <n v="0"/>
    <n v="0"/>
    <n v="0"/>
    <n v="0"/>
    <n v="1"/>
    <n v="1"/>
    <n v="0"/>
    <m/>
    <n v="60.8"/>
  </r>
  <r>
    <s v="USR-100959"/>
    <d v="2025-05-21T00:00:00"/>
    <x v="1"/>
    <x v="2"/>
    <x v="1"/>
    <x v="1"/>
    <x v="1"/>
    <n v="1"/>
    <n v="0"/>
    <n v="0"/>
    <n v="0"/>
    <n v="0"/>
    <n v="0"/>
    <n v="0"/>
    <n v="0"/>
    <m/>
    <n v="63.1"/>
  </r>
  <r>
    <s v="USR-100960"/>
    <d v="2025-05-16T00:00:00"/>
    <x v="1"/>
    <x v="0"/>
    <x v="1"/>
    <x v="3"/>
    <x v="2"/>
    <n v="1"/>
    <n v="0"/>
    <n v="0"/>
    <n v="0"/>
    <n v="0"/>
    <n v="2"/>
    <n v="1"/>
    <n v="0"/>
    <m/>
    <n v="49.7"/>
  </r>
  <r>
    <s v="USR-100961"/>
    <d v="2025-05-24T00:00:00"/>
    <x v="1"/>
    <x v="2"/>
    <x v="0"/>
    <x v="1"/>
    <x v="2"/>
    <n v="1"/>
    <n v="1"/>
    <n v="1"/>
    <n v="0"/>
    <n v="0"/>
    <n v="1"/>
    <n v="1"/>
    <n v="0"/>
    <m/>
    <n v="83.4"/>
  </r>
  <r>
    <s v="USR-100962"/>
    <d v="2025-03-18T00:00:00"/>
    <x v="1"/>
    <x v="2"/>
    <x v="1"/>
    <x v="1"/>
    <x v="0"/>
    <n v="1"/>
    <n v="0"/>
    <n v="0"/>
    <n v="0"/>
    <n v="0"/>
    <n v="0"/>
    <n v="0"/>
    <n v="0"/>
    <m/>
    <n v="75.900000000000006"/>
  </r>
  <r>
    <s v="USR-100963"/>
    <d v="2025-01-11T00:00:00"/>
    <x v="1"/>
    <x v="2"/>
    <x v="0"/>
    <x v="2"/>
    <x v="1"/>
    <n v="0"/>
    <n v="0"/>
    <n v="0"/>
    <n v="0"/>
    <n v="0"/>
    <n v="1"/>
    <n v="1"/>
    <n v="0"/>
    <m/>
    <n v="71.8"/>
  </r>
  <r>
    <s v="USR-100964"/>
    <d v="2025-02-09T00:00:00"/>
    <x v="1"/>
    <x v="3"/>
    <x v="1"/>
    <x v="1"/>
    <x v="0"/>
    <n v="0"/>
    <n v="0"/>
    <n v="0"/>
    <n v="0"/>
    <n v="0"/>
    <n v="0"/>
    <n v="0"/>
    <n v="0"/>
    <m/>
    <n v="37.9"/>
  </r>
  <r>
    <s v="USR-100965"/>
    <d v="2025-03-01T00:00:00"/>
    <x v="1"/>
    <x v="0"/>
    <x v="0"/>
    <x v="4"/>
    <x v="1"/>
    <n v="1"/>
    <n v="0"/>
    <n v="0"/>
    <n v="0"/>
    <n v="0"/>
    <n v="0"/>
    <n v="0"/>
    <n v="0"/>
    <m/>
    <n v="59.8"/>
  </r>
  <r>
    <s v="USR-100966"/>
    <d v="2025-05-07T00:00:00"/>
    <x v="1"/>
    <x v="0"/>
    <x v="1"/>
    <x v="1"/>
    <x v="0"/>
    <n v="0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x v="1"/>
    <n v="1"/>
    <n v="0"/>
    <n v="0"/>
    <n v="0"/>
    <n v="0"/>
    <n v="0"/>
    <n v="0"/>
    <n v="0"/>
    <m/>
    <n v="59"/>
  </r>
  <r>
    <s v="USR-100968"/>
    <d v="2025-02-26T00:00:00"/>
    <x v="1"/>
    <x v="1"/>
    <x v="1"/>
    <x v="1"/>
    <x v="2"/>
    <n v="1"/>
    <n v="0"/>
    <n v="0"/>
    <n v="0"/>
    <n v="0"/>
    <n v="0"/>
    <n v="0"/>
    <n v="0"/>
    <m/>
    <n v="80.099999999999994"/>
  </r>
  <r>
    <s v="USR-100969"/>
    <d v="2025-03-23T00:00:00"/>
    <x v="1"/>
    <x v="3"/>
    <x v="1"/>
    <x v="4"/>
    <x v="1"/>
    <n v="0"/>
    <n v="0"/>
    <n v="0"/>
    <n v="0"/>
    <n v="0"/>
    <n v="0"/>
    <n v="0"/>
    <n v="0"/>
    <m/>
    <n v="64.3"/>
  </r>
  <r>
    <s v="USR-100970"/>
    <d v="2025-04-25T00:00:00"/>
    <x v="1"/>
    <x v="3"/>
    <x v="0"/>
    <x v="4"/>
    <x v="1"/>
    <n v="0"/>
    <n v="0"/>
    <n v="0"/>
    <n v="0"/>
    <n v="0"/>
    <n v="1"/>
    <n v="1"/>
    <n v="0"/>
    <m/>
    <n v="57.4"/>
  </r>
  <r>
    <s v="USR-100971"/>
    <d v="2025-05-10T00:00:00"/>
    <x v="1"/>
    <x v="0"/>
    <x v="0"/>
    <x v="4"/>
    <x v="1"/>
    <n v="1"/>
    <n v="1"/>
    <n v="1"/>
    <n v="0"/>
    <n v="0"/>
    <n v="0"/>
    <n v="0"/>
    <n v="0"/>
    <m/>
    <n v="83.6"/>
  </r>
  <r>
    <s v="USR-100972"/>
    <d v="2025-04-22T00:00:00"/>
    <x v="1"/>
    <x v="2"/>
    <x v="1"/>
    <x v="2"/>
    <x v="2"/>
    <n v="0"/>
    <n v="0"/>
    <n v="0"/>
    <n v="0"/>
    <n v="0"/>
    <n v="0"/>
    <n v="0"/>
    <n v="0"/>
    <m/>
    <n v="45.8"/>
  </r>
  <r>
    <s v="USR-100973"/>
    <d v="2025-02-18T00:00:00"/>
    <x v="1"/>
    <x v="1"/>
    <x v="1"/>
    <x v="3"/>
    <x v="0"/>
    <n v="1"/>
    <n v="1"/>
    <n v="1"/>
    <n v="0"/>
    <n v="0"/>
    <n v="0"/>
    <n v="0"/>
    <n v="0"/>
    <m/>
    <n v="64.3"/>
  </r>
  <r>
    <s v="USR-100974"/>
    <d v="2025-01-26T00:00:00"/>
    <x v="1"/>
    <x v="3"/>
    <x v="1"/>
    <x v="2"/>
    <x v="2"/>
    <n v="1"/>
    <n v="1"/>
    <n v="1"/>
    <n v="0"/>
    <n v="0"/>
    <n v="0"/>
    <n v="0"/>
    <n v="0"/>
    <m/>
    <n v="80.5"/>
  </r>
  <r>
    <s v="USR-100975"/>
    <d v="2025-04-28T00:00:00"/>
    <x v="1"/>
    <x v="0"/>
    <x v="1"/>
    <x v="1"/>
    <x v="1"/>
    <n v="1"/>
    <n v="0"/>
    <n v="0"/>
    <n v="0"/>
    <n v="0"/>
    <n v="0"/>
    <n v="0"/>
    <n v="0"/>
    <m/>
    <n v="46.3"/>
  </r>
  <r>
    <s v="USR-100976"/>
    <d v="2025-04-02T00:00:00"/>
    <x v="1"/>
    <x v="3"/>
    <x v="0"/>
    <x v="0"/>
    <x v="0"/>
    <n v="1"/>
    <n v="0"/>
    <n v="0"/>
    <n v="0"/>
    <n v="0"/>
    <n v="0"/>
    <n v="0"/>
    <n v="0"/>
    <m/>
    <n v="71.599999999999994"/>
  </r>
  <r>
    <s v="USR-100977"/>
    <d v="2025-04-12T00:00:00"/>
    <x v="1"/>
    <x v="3"/>
    <x v="0"/>
    <x v="0"/>
    <x v="2"/>
    <n v="1"/>
    <n v="1"/>
    <n v="0"/>
    <n v="0"/>
    <n v="0"/>
    <n v="0"/>
    <n v="0"/>
    <n v="0"/>
    <m/>
    <n v="57.8"/>
  </r>
  <r>
    <s v="USR-100978"/>
    <d v="2025-01-03T00:00:00"/>
    <x v="1"/>
    <x v="1"/>
    <x v="0"/>
    <x v="0"/>
    <x v="0"/>
    <n v="1"/>
    <n v="1"/>
    <n v="1"/>
    <n v="0"/>
    <n v="0"/>
    <n v="1"/>
    <n v="1"/>
    <n v="0"/>
    <m/>
    <n v="57.8"/>
  </r>
  <r>
    <s v="USR-100979"/>
    <d v="2025-05-08T00:00:00"/>
    <x v="1"/>
    <x v="0"/>
    <x v="1"/>
    <x v="2"/>
    <x v="1"/>
    <n v="1"/>
    <n v="0"/>
    <n v="0"/>
    <n v="0"/>
    <n v="0"/>
    <n v="0"/>
    <n v="0"/>
    <n v="0"/>
    <m/>
    <n v="38.299999999999997"/>
  </r>
  <r>
    <s v="USR-100980"/>
    <d v="2025-02-20T00:00:00"/>
    <x v="1"/>
    <x v="0"/>
    <x v="1"/>
    <x v="3"/>
    <x v="2"/>
    <n v="1"/>
    <n v="0"/>
    <n v="0"/>
    <n v="0"/>
    <n v="0"/>
    <n v="1"/>
    <n v="1"/>
    <n v="0"/>
    <m/>
    <n v="66.099999999999994"/>
  </r>
  <r>
    <s v="USR-100981"/>
    <d v="2025-03-17T00:00:00"/>
    <x v="1"/>
    <x v="0"/>
    <x v="0"/>
    <x v="2"/>
    <x v="2"/>
    <n v="1"/>
    <n v="0"/>
    <n v="0"/>
    <n v="0"/>
    <n v="0"/>
    <n v="0"/>
    <n v="0"/>
    <n v="0"/>
    <m/>
    <n v="66.5"/>
  </r>
  <r>
    <s v="USR-100982"/>
    <d v="2025-04-10T00:00:00"/>
    <x v="1"/>
    <x v="3"/>
    <x v="0"/>
    <x v="0"/>
    <x v="1"/>
    <n v="1"/>
    <n v="0"/>
    <n v="0"/>
    <n v="0"/>
    <n v="0"/>
    <n v="3"/>
    <n v="1"/>
    <n v="0"/>
    <m/>
    <n v="51.5"/>
  </r>
  <r>
    <s v="USR-100983"/>
    <d v="2025-05-08T00:00:00"/>
    <x v="1"/>
    <x v="0"/>
    <x v="0"/>
    <x v="3"/>
    <x v="1"/>
    <n v="1"/>
    <n v="0"/>
    <n v="0"/>
    <n v="0"/>
    <n v="0"/>
    <n v="0"/>
    <n v="0"/>
    <n v="0"/>
    <m/>
    <n v="59.9"/>
  </r>
  <r>
    <s v="USR-100984"/>
    <d v="2025-04-19T00:00:00"/>
    <x v="1"/>
    <x v="1"/>
    <x v="1"/>
    <x v="2"/>
    <x v="0"/>
    <n v="1"/>
    <n v="0"/>
    <n v="0"/>
    <n v="0"/>
    <n v="0"/>
    <n v="0"/>
    <n v="0"/>
    <n v="0"/>
    <m/>
    <n v="58.8"/>
  </r>
  <r>
    <s v="USR-100985"/>
    <d v="2025-01-01T00:00:00"/>
    <x v="1"/>
    <x v="3"/>
    <x v="2"/>
    <x v="2"/>
    <x v="0"/>
    <n v="1"/>
    <n v="0"/>
    <n v="0"/>
    <n v="0"/>
    <n v="0"/>
    <n v="0"/>
    <n v="0"/>
    <n v="0"/>
    <m/>
    <n v="69.599999999999994"/>
  </r>
  <r>
    <s v="USR-100986"/>
    <d v="2025-03-10T00:00:00"/>
    <x v="1"/>
    <x v="2"/>
    <x v="1"/>
    <x v="2"/>
    <x v="1"/>
    <n v="1"/>
    <n v="0"/>
    <n v="0"/>
    <n v="0"/>
    <n v="0"/>
    <n v="0"/>
    <n v="0"/>
    <n v="0"/>
    <m/>
    <n v="77.5"/>
  </r>
  <r>
    <s v="USR-100987"/>
    <d v="2025-03-10T00:00:00"/>
    <x v="1"/>
    <x v="2"/>
    <x v="2"/>
    <x v="4"/>
    <x v="2"/>
    <n v="0"/>
    <n v="0"/>
    <n v="0"/>
    <n v="0"/>
    <n v="0"/>
    <n v="2"/>
    <n v="1"/>
    <n v="0"/>
    <m/>
    <n v="57.5"/>
  </r>
  <r>
    <s v="USR-100988"/>
    <d v="2025-04-19T00:00:00"/>
    <x v="1"/>
    <x v="1"/>
    <x v="2"/>
    <x v="0"/>
    <x v="0"/>
    <n v="1"/>
    <n v="0"/>
    <n v="0"/>
    <n v="0"/>
    <n v="0"/>
    <n v="0"/>
    <n v="0"/>
    <n v="0"/>
    <m/>
    <n v="64.2"/>
  </r>
  <r>
    <s v="USR-100989"/>
    <d v="2025-04-11T00:00:00"/>
    <x v="1"/>
    <x v="1"/>
    <x v="0"/>
    <x v="1"/>
    <x v="1"/>
    <n v="0"/>
    <n v="0"/>
    <n v="0"/>
    <n v="0"/>
    <n v="0"/>
    <n v="0"/>
    <n v="0"/>
    <n v="0"/>
    <m/>
    <n v="60"/>
  </r>
  <r>
    <s v="USR-100990"/>
    <d v="2025-04-10T00:00:00"/>
    <x v="1"/>
    <x v="2"/>
    <x v="1"/>
    <x v="1"/>
    <x v="0"/>
    <n v="1"/>
    <n v="0"/>
    <n v="0"/>
    <n v="0"/>
    <n v="0"/>
    <n v="1"/>
    <n v="1"/>
    <n v="0"/>
    <m/>
    <n v="43.7"/>
  </r>
  <r>
    <s v="USR-100991"/>
    <d v="2025-01-13T00:00:00"/>
    <x v="1"/>
    <x v="1"/>
    <x v="0"/>
    <x v="4"/>
    <x v="1"/>
    <n v="1"/>
    <n v="0"/>
    <n v="0"/>
    <n v="0"/>
    <n v="0"/>
    <n v="0"/>
    <n v="0"/>
    <n v="0"/>
    <m/>
    <n v="64.900000000000006"/>
  </r>
  <r>
    <s v="USR-100992"/>
    <d v="2025-03-28T00:00:00"/>
    <x v="1"/>
    <x v="3"/>
    <x v="0"/>
    <x v="1"/>
    <x v="1"/>
    <n v="1"/>
    <n v="1"/>
    <n v="0"/>
    <n v="0"/>
    <n v="0"/>
    <n v="0"/>
    <n v="0"/>
    <n v="0"/>
    <m/>
    <n v="45.5"/>
  </r>
  <r>
    <s v="USR-100993"/>
    <d v="2025-01-29T00:00:00"/>
    <x v="1"/>
    <x v="2"/>
    <x v="1"/>
    <x v="2"/>
    <x v="1"/>
    <n v="1"/>
    <n v="1"/>
    <n v="1"/>
    <n v="1"/>
    <n v="1772.97"/>
    <n v="0"/>
    <n v="0"/>
    <n v="0"/>
    <n v="8"/>
    <n v="61.2"/>
  </r>
  <r>
    <s v="USR-100994"/>
    <d v="2025-03-27T00:00:00"/>
    <x v="1"/>
    <x v="3"/>
    <x v="1"/>
    <x v="3"/>
    <x v="1"/>
    <n v="0"/>
    <n v="0"/>
    <n v="0"/>
    <n v="0"/>
    <n v="0"/>
    <n v="0"/>
    <n v="0"/>
    <n v="0"/>
    <m/>
    <n v="87.8"/>
  </r>
  <r>
    <s v="USR-100995"/>
    <d v="2025-03-20T00:00:00"/>
    <x v="1"/>
    <x v="2"/>
    <x v="2"/>
    <x v="4"/>
    <x v="1"/>
    <n v="0"/>
    <n v="0"/>
    <n v="0"/>
    <n v="0"/>
    <n v="0"/>
    <n v="0"/>
    <n v="0"/>
    <n v="0"/>
    <m/>
    <n v="86.4"/>
  </r>
  <r>
    <s v="USR-100996"/>
    <d v="2025-01-09T00:00:00"/>
    <x v="1"/>
    <x v="0"/>
    <x v="1"/>
    <x v="2"/>
    <x v="0"/>
    <n v="0"/>
    <n v="0"/>
    <n v="0"/>
    <n v="0"/>
    <n v="0"/>
    <n v="1"/>
    <n v="1"/>
    <n v="0"/>
    <m/>
    <n v="71.400000000000006"/>
  </r>
  <r>
    <s v="USR-100997"/>
    <d v="2025-04-25T00:00:00"/>
    <x v="1"/>
    <x v="1"/>
    <x v="1"/>
    <x v="4"/>
    <x v="1"/>
    <n v="1"/>
    <n v="1"/>
    <n v="1"/>
    <n v="1"/>
    <n v="218.66"/>
    <n v="0"/>
    <n v="0"/>
    <n v="1"/>
    <n v="8"/>
    <n v="72.2"/>
  </r>
  <r>
    <s v="USR-100998"/>
    <d v="2025-04-11T00:00:00"/>
    <x v="1"/>
    <x v="3"/>
    <x v="0"/>
    <x v="4"/>
    <x v="1"/>
    <n v="1"/>
    <n v="0"/>
    <n v="0"/>
    <n v="0"/>
    <n v="0"/>
    <n v="0"/>
    <n v="0"/>
    <n v="0"/>
    <m/>
    <n v="51.9"/>
  </r>
  <r>
    <s v="USR-100999"/>
    <d v="2025-02-05T00:00:00"/>
    <x v="1"/>
    <x v="2"/>
    <x v="1"/>
    <x v="4"/>
    <x v="0"/>
    <n v="1"/>
    <n v="1"/>
    <n v="1"/>
    <n v="0"/>
    <n v="0"/>
    <n v="0"/>
    <n v="0"/>
    <n v="0"/>
    <m/>
    <n v="70.3"/>
  </r>
  <r>
    <s v="USR-101000"/>
    <d v="2025-03-28T00:00:00"/>
    <x v="1"/>
    <x v="3"/>
    <x v="1"/>
    <x v="4"/>
    <x v="2"/>
    <n v="1"/>
    <n v="0"/>
    <n v="0"/>
    <n v="0"/>
    <n v="0"/>
    <n v="1"/>
    <n v="1"/>
    <n v="0"/>
    <m/>
    <n v="49.2"/>
  </r>
  <r>
    <s v="USR-101001"/>
    <d v="2025-05-14T00:00:00"/>
    <x v="1"/>
    <x v="3"/>
    <x v="1"/>
    <x v="3"/>
    <x v="1"/>
    <n v="0"/>
    <n v="0"/>
    <n v="0"/>
    <n v="0"/>
    <n v="0"/>
    <n v="0"/>
    <n v="0"/>
    <n v="0"/>
    <m/>
    <n v="52.2"/>
  </r>
  <r>
    <s v="USR-101002"/>
    <d v="2025-03-10T00:00:00"/>
    <x v="1"/>
    <x v="2"/>
    <x v="1"/>
    <x v="2"/>
    <x v="0"/>
    <n v="0"/>
    <n v="0"/>
    <n v="0"/>
    <n v="0"/>
    <n v="0"/>
    <n v="1"/>
    <n v="1"/>
    <n v="0"/>
    <m/>
    <n v="62.6"/>
  </r>
  <r>
    <s v="USR-101003"/>
    <d v="2025-04-09T00:00:00"/>
    <x v="1"/>
    <x v="2"/>
    <x v="0"/>
    <x v="2"/>
    <x v="1"/>
    <n v="1"/>
    <n v="1"/>
    <n v="0"/>
    <n v="0"/>
    <n v="0"/>
    <n v="0"/>
    <n v="0"/>
    <n v="0"/>
    <m/>
    <n v="100"/>
  </r>
  <r>
    <s v="USR-101004"/>
    <d v="2025-02-13T00:00:00"/>
    <x v="1"/>
    <x v="0"/>
    <x v="1"/>
    <x v="3"/>
    <x v="0"/>
    <n v="1"/>
    <n v="1"/>
    <n v="1"/>
    <n v="0"/>
    <n v="0"/>
    <n v="2"/>
    <n v="1"/>
    <n v="0"/>
    <m/>
    <n v="45.9"/>
  </r>
  <r>
    <s v="USR-101005"/>
    <d v="2025-05-03T00:00:00"/>
    <x v="1"/>
    <x v="2"/>
    <x v="1"/>
    <x v="0"/>
    <x v="1"/>
    <n v="1"/>
    <n v="1"/>
    <n v="1"/>
    <n v="0"/>
    <n v="0"/>
    <n v="0"/>
    <n v="0"/>
    <n v="0"/>
    <m/>
    <n v="80.7"/>
  </r>
  <r>
    <s v="USR-101006"/>
    <d v="2025-04-16T00:00:00"/>
    <x v="1"/>
    <x v="3"/>
    <x v="0"/>
    <x v="3"/>
    <x v="2"/>
    <n v="1"/>
    <n v="0"/>
    <n v="0"/>
    <n v="0"/>
    <n v="0"/>
    <n v="0"/>
    <n v="0"/>
    <n v="0"/>
    <m/>
    <n v="51.9"/>
  </r>
  <r>
    <s v="USR-101007"/>
    <d v="2025-04-30T00:00:00"/>
    <x v="1"/>
    <x v="0"/>
    <x v="1"/>
    <x v="2"/>
    <x v="2"/>
    <n v="1"/>
    <n v="0"/>
    <n v="0"/>
    <n v="0"/>
    <n v="0"/>
    <n v="0"/>
    <n v="0"/>
    <n v="0"/>
    <m/>
    <n v="68.900000000000006"/>
  </r>
  <r>
    <s v="USR-101008"/>
    <d v="2025-02-18T00:00:00"/>
    <x v="1"/>
    <x v="1"/>
    <x v="0"/>
    <x v="1"/>
    <x v="1"/>
    <n v="1"/>
    <n v="0"/>
    <n v="0"/>
    <n v="0"/>
    <n v="0"/>
    <n v="0"/>
    <n v="0"/>
    <n v="0"/>
    <m/>
    <n v="66"/>
  </r>
  <r>
    <s v="USR-101009"/>
    <d v="2025-05-22T00:00:00"/>
    <x v="1"/>
    <x v="1"/>
    <x v="0"/>
    <x v="3"/>
    <x v="0"/>
    <n v="0"/>
    <n v="0"/>
    <n v="0"/>
    <n v="0"/>
    <n v="0"/>
    <n v="0"/>
    <n v="0"/>
    <n v="0"/>
    <m/>
    <n v="63.1"/>
  </r>
  <r>
    <s v="USR-101010"/>
    <d v="2025-05-21T00:00:00"/>
    <x v="1"/>
    <x v="3"/>
    <x v="0"/>
    <x v="1"/>
    <x v="1"/>
    <n v="0"/>
    <n v="0"/>
    <n v="0"/>
    <n v="0"/>
    <n v="0"/>
    <n v="0"/>
    <n v="0"/>
    <n v="0"/>
    <m/>
    <n v="56"/>
  </r>
  <r>
    <s v="USR-101011"/>
    <d v="2025-04-10T00:00:00"/>
    <x v="1"/>
    <x v="2"/>
    <x v="0"/>
    <x v="1"/>
    <x v="1"/>
    <n v="1"/>
    <n v="0"/>
    <n v="0"/>
    <n v="0"/>
    <n v="0"/>
    <n v="1"/>
    <n v="1"/>
    <n v="0"/>
    <m/>
    <n v="65.7"/>
  </r>
  <r>
    <s v="USR-101012"/>
    <d v="2025-01-07T00:00:00"/>
    <x v="1"/>
    <x v="0"/>
    <x v="0"/>
    <x v="1"/>
    <x v="2"/>
    <n v="1"/>
    <n v="1"/>
    <n v="1"/>
    <n v="1"/>
    <n v="1938.31"/>
    <n v="1"/>
    <n v="1"/>
    <n v="0"/>
    <n v="9"/>
    <n v="60.9"/>
  </r>
  <r>
    <s v="USR-101013"/>
    <d v="2025-02-03T00:00:00"/>
    <x v="1"/>
    <x v="3"/>
    <x v="0"/>
    <x v="4"/>
    <x v="1"/>
    <n v="0"/>
    <n v="0"/>
    <n v="0"/>
    <n v="0"/>
    <n v="0"/>
    <n v="0"/>
    <n v="0"/>
    <n v="0"/>
    <m/>
    <n v="45.5"/>
  </r>
  <r>
    <s v="USR-101014"/>
    <d v="2025-05-18T00:00:00"/>
    <x v="1"/>
    <x v="0"/>
    <x v="1"/>
    <x v="2"/>
    <x v="1"/>
    <n v="1"/>
    <n v="0"/>
    <n v="0"/>
    <n v="0"/>
    <n v="0"/>
    <n v="0"/>
    <n v="0"/>
    <n v="0"/>
    <m/>
    <n v="50"/>
  </r>
  <r>
    <s v="USR-101015"/>
    <d v="2025-01-31T00:00:00"/>
    <x v="1"/>
    <x v="0"/>
    <x v="1"/>
    <x v="3"/>
    <x v="1"/>
    <n v="1"/>
    <n v="0"/>
    <n v="0"/>
    <n v="0"/>
    <n v="0"/>
    <n v="0"/>
    <n v="0"/>
    <n v="0"/>
    <m/>
    <n v="72.099999999999994"/>
  </r>
  <r>
    <s v="USR-101016"/>
    <d v="2025-01-16T00:00:00"/>
    <x v="1"/>
    <x v="3"/>
    <x v="0"/>
    <x v="1"/>
    <x v="0"/>
    <n v="1"/>
    <n v="0"/>
    <n v="0"/>
    <n v="0"/>
    <n v="0"/>
    <n v="0"/>
    <n v="0"/>
    <n v="0"/>
    <m/>
    <n v="76.3"/>
  </r>
  <r>
    <s v="USR-101017"/>
    <d v="2025-05-14T00:00:00"/>
    <x v="1"/>
    <x v="2"/>
    <x v="1"/>
    <x v="2"/>
    <x v="0"/>
    <n v="1"/>
    <n v="1"/>
    <n v="0"/>
    <n v="0"/>
    <n v="0"/>
    <n v="1"/>
    <n v="1"/>
    <n v="0"/>
    <m/>
    <n v="54.8"/>
  </r>
  <r>
    <s v="USR-101018"/>
    <d v="2025-04-01T00:00:00"/>
    <x v="1"/>
    <x v="3"/>
    <x v="1"/>
    <x v="5"/>
    <x v="0"/>
    <n v="1"/>
    <n v="0"/>
    <n v="0"/>
    <n v="0"/>
    <n v="0"/>
    <n v="0"/>
    <n v="0"/>
    <n v="0"/>
    <m/>
    <n v="63.6"/>
  </r>
  <r>
    <s v="USR-101019"/>
    <d v="2025-04-23T00:00:00"/>
    <x v="1"/>
    <x v="3"/>
    <x v="1"/>
    <x v="1"/>
    <x v="1"/>
    <n v="1"/>
    <n v="0"/>
    <n v="0"/>
    <n v="0"/>
    <n v="0"/>
    <n v="0"/>
    <n v="0"/>
    <n v="0"/>
    <m/>
    <n v="68.8"/>
  </r>
  <r>
    <s v="USR-101020"/>
    <d v="2025-03-02T00:00:00"/>
    <x v="1"/>
    <x v="3"/>
    <x v="0"/>
    <x v="2"/>
    <x v="0"/>
    <n v="1"/>
    <n v="0"/>
    <n v="0"/>
    <n v="0"/>
    <n v="0"/>
    <n v="0"/>
    <n v="0"/>
    <n v="0"/>
    <m/>
    <n v="63.2"/>
  </r>
  <r>
    <s v="USR-101021"/>
    <d v="2025-01-02T00:00:00"/>
    <x v="1"/>
    <x v="2"/>
    <x v="1"/>
    <x v="2"/>
    <x v="0"/>
    <n v="0"/>
    <n v="0"/>
    <n v="0"/>
    <n v="0"/>
    <n v="0"/>
    <n v="0"/>
    <n v="0"/>
    <n v="0"/>
    <m/>
    <n v="45"/>
  </r>
  <r>
    <s v="USR-101022"/>
    <d v="2025-05-04T00:00:00"/>
    <x v="1"/>
    <x v="3"/>
    <x v="1"/>
    <x v="1"/>
    <x v="1"/>
    <n v="1"/>
    <n v="0"/>
    <n v="0"/>
    <n v="0"/>
    <n v="0"/>
    <n v="0"/>
    <n v="0"/>
    <n v="0"/>
    <m/>
    <n v="77.400000000000006"/>
  </r>
  <r>
    <s v="USR-101023"/>
    <d v="2025-01-16T00:00:00"/>
    <x v="1"/>
    <x v="2"/>
    <x v="0"/>
    <x v="2"/>
    <x v="0"/>
    <n v="0"/>
    <n v="0"/>
    <n v="0"/>
    <n v="0"/>
    <n v="0"/>
    <n v="0"/>
    <n v="0"/>
    <n v="0"/>
    <m/>
    <n v="53.1"/>
  </r>
  <r>
    <s v="USR-101024"/>
    <d v="2025-02-11T00:00:00"/>
    <x v="1"/>
    <x v="1"/>
    <x v="2"/>
    <x v="2"/>
    <x v="2"/>
    <n v="0"/>
    <n v="0"/>
    <n v="0"/>
    <n v="0"/>
    <n v="0"/>
    <n v="0"/>
    <n v="0"/>
    <n v="0"/>
    <m/>
    <n v="74"/>
  </r>
  <r>
    <s v="USR-101025"/>
    <d v="2025-04-03T00:00:00"/>
    <x v="1"/>
    <x v="0"/>
    <x v="1"/>
    <x v="4"/>
    <x v="2"/>
    <n v="1"/>
    <n v="1"/>
    <n v="1"/>
    <n v="1"/>
    <n v="1906.23"/>
    <n v="0"/>
    <n v="0"/>
    <n v="0"/>
    <n v="4"/>
    <n v="84.6"/>
  </r>
  <r>
    <s v="USR-101026"/>
    <d v="2025-03-26T00:00:00"/>
    <x v="1"/>
    <x v="2"/>
    <x v="1"/>
    <x v="3"/>
    <x v="1"/>
    <n v="1"/>
    <n v="0"/>
    <n v="0"/>
    <n v="0"/>
    <n v="0"/>
    <n v="0"/>
    <n v="0"/>
    <n v="0"/>
    <m/>
    <n v="57"/>
  </r>
  <r>
    <s v="USR-101027"/>
    <d v="2025-05-16T00:00:00"/>
    <x v="1"/>
    <x v="3"/>
    <x v="1"/>
    <x v="0"/>
    <x v="2"/>
    <n v="0"/>
    <n v="0"/>
    <n v="0"/>
    <n v="0"/>
    <n v="0"/>
    <n v="0"/>
    <n v="0"/>
    <n v="0"/>
    <m/>
    <n v="46.3"/>
  </r>
  <r>
    <s v="USR-101028"/>
    <d v="2025-04-20T00:00:00"/>
    <x v="1"/>
    <x v="1"/>
    <x v="1"/>
    <x v="4"/>
    <x v="1"/>
    <n v="0"/>
    <n v="0"/>
    <n v="0"/>
    <n v="0"/>
    <n v="0"/>
    <n v="1"/>
    <n v="1"/>
    <n v="0"/>
    <m/>
    <n v="64.400000000000006"/>
  </r>
  <r>
    <s v="USR-101029"/>
    <d v="2025-04-15T00:00:00"/>
    <x v="1"/>
    <x v="1"/>
    <x v="1"/>
    <x v="2"/>
    <x v="1"/>
    <n v="1"/>
    <n v="0"/>
    <n v="0"/>
    <n v="0"/>
    <n v="0"/>
    <n v="2"/>
    <n v="1"/>
    <n v="0"/>
    <m/>
    <n v="61.9"/>
  </r>
  <r>
    <s v="USR-101030"/>
    <d v="2025-01-24T00:00:00"/>
    <x v="1"/>
    <x v="0"/>
    <x v="1"/>
    <x v="1"/>
    <x v="2"/>
    <n v="1"/>
    <n v="1"/>
    <n v="1"/>
    <n v="0"/>
    <n v="0"/>
    <n v="0"/>
    <n v="0"/>
    <n v="0"/>
    <m/>
    <n v="93.7"/>
  </r>
  <r>
    <s v="USR-101031"/>
    <d v="2025-04-11T00:00:00"/>
    <x v="1"/>
    <x v="3"/>
    <x v="1"/>
    <x v="3"/>
    <x v="0"/>
    <n v="0"/>
    <n v="0"/>
    <n v="0"/>
    <n v="0"/>
    <n v="0"/>
    <n v="0"/>
    <n v="0"/>
    <n v="0"/>
    <m/>
    <n v="61.6"/>
  </r>
  <r>
    <s v="USR-101032"/>
    <d v="2025-05-19T00:00:00"/>
    <x v="1"/>
    <x v="0"/>
    <x v="1"/>
    <x v="2"/>
    <x v="1"/>
    <n v="1"/>
    <n v="0"/>
    <n v="0"/>
    <n v="0"/>
    <n v="0"/>
    <n v="0"/>
    <n v="0"/>
    <n v="0"/>
    <m/>
    <n v="72.2"/>
  </r>
  <r>
    <s v="USR-101033"/>
    <d v="2025-01-14T00:00:00"/>
    <x v="1"/>
    <x v="0"/>
    <x v="1"/>
    <x v="1"/>
    <x v="0"/>
    <n v="0"/>
    <n v="0"/>
    <n v="0"/>
    <n v="0"/>
    <n v="0"/>
    <n v="0"/>
    <n v="0"/>
    <n v="0"/>
    <m/>
    <n v="69.5"/>
  </r>
  <r>
    <s v="USR-101034"/>
    <d v="2025-02-28T00:00:00"/>
    <x v="1"/>
    <x v="2"/>
    <x v="0"/>
    <x v="1"/>
    <x v="0"/>
    <n v="0"/>
    <n v="0"/>
    <n v="0"/>
    <n v="0"/>
    <n v="0"/>
    <n v="0"/>
    <n v="0"/>
    <n v="0"/>
    <m/>
    <n v="59.7"/>
  </r>
  <r>
    <s v="USR-101035"/>
    <d v="2025-05-18T00:00:00"/>
    <x v="1"/>
    <x v="2"/>
    <x v="2"/>
    <x v="2"/>
    <x v="0"/>
    <n v="1"/>
    <n v="0"/>
    <n v="0"/>
    <n v="0"/>
    <n v="0"/>
    <n v="0"/>
    <n v="0"/>
    <n v="0"/>
    <m/>
    <n v="73.900000000000006"/>
  </r>
  <r>
    <s v="USR-101036"/>
    <d v="2025-01-04T00:00:00"/>
    <x v="1"/>
    <x v="0"/>
    <x v="1"/>
    <x v="4"/>
    <x v="1"/>
    <n v="0"/>
    <n v="0"/>
    <n v="0"/>
    <n v="0"/>
    <n v="0"/>
    <n v="0"/>
    <n v="0"/>
    <n v="0"/>
    <m/>
    <n v="41.5"/>
  </r>
  <r>
    <s v="USR-101037"/>
    <d v="2025-01-16T00:00:00"/>
    <x v="1"/>
    <x v="1"/>
    <x v="1"/>
    <x v="4"/>
    <x v="2"/>
    <n v="1"/>
    <n v="0"/>
    <n v="0"/>
    <n v="0"/>
    <n v="0"/>
    <n v="0"/>
    <n v="0"/>
    <n v="0"/>
    <m/>
    <n v="82.8"/>
  </r>
  <r>
    <s v="USR-101038"/>
    <d v="2025-03-14T00:00:00"/>
    <x v="1"/>
    <x v="1"/>
    <x v="1"/>
    <x v="4"/>
    <x v="2"/>
    <n v="1"/>
    <n v="0"/>
    <n v="0"/>
    <n v="0"/>
    <n v="0"/>
    <n v="3"/>
    <n v="1"/>
    <n v="0"/>
    <m/>
    <n v="70.2"/>
  </r>
  <r>
    <s v="USR-101039"/>
    <d v="2025-01-23T00:00:00"/>
    <x v="1"/>
    <x v="2"/>
    <x v="1"/>
    <x v="2"/>
    <x v="0"/>
    <n v="1"/>
    <n v="0"/>
    <n v="0"/>
    <n v="0"/>
    <n v="0"/>
    <n v="1"/>
    <n v="1"/>
    <n v="0"/>
    <m/>
    <n v="69.400000000000006"/>
  </r>
  <r>
    <s v="USR-101040"/>
    <d v="2025-02-03T00:00:00"/>
    <x v="1"/>
    <x v="0"/>
    <x v="0"/>
    <x v="1"/>
    <x v="0"/>
    <n v="1"/>
    <n v="0"/>
    <n v="0"/>
    <n v="0"/>
    <n v="0"/>
    <n v="0"/>
    <n v="0"/>
    <n v="0"/>
    <m/>
    <n v="60.4"/>
  </r>
  <r>
    <s v="USR-101041"/>
    <d v="2025-05-16T00:00:00"/>
    <x v="1"/>
    <x v="2"/>
    <x v="1"/>
    <x v="3"/>
    <x v="1"/>
    <n v="1"/>
    <n v="0"/>
    <n v="0"/>
    <n v="0"/>
    <n v="0"/>
    <n v="0"/>
    <n v="0"/>
    <n v="0"/>
    <m/>
    <n v="45.7"/>
  </r>
  <r>
    <s v="USR-101042"/>
    <d v="2025-01-11T00:00:00"/>
    <x v="1"/>
    <x v="1"/>
    <x v="1"/>
    <x v="1"/>
    <x v="0"/>
    <n v="0"/>
    <n v="0"/>
    <n v="0"/>
    <n v="0"/>
    <n v="0"/>
    <n v="1"/>
    <n v="1"/>
    <n v="0"/>
    <m/>
    <n v="42.2"/>
  </r>
  <r>
    <s v="USR-101043"/>
    <d v="2025-05-25T00:00:00"/>
    <x v="1"/>
    <x v="0"/>
    <x v="0"/>
    <x v="1"/>
    <x v="1"/>
    <n v="0"/>
    <n v="0"/>
    <n v="0"/>
    <n v="0"/>
    <n v="0"/>
    <n v="2"/>
    <n v="1"/>
    <n v="0"/>
    <m/>
    <n v="61.9"/>
  </r>
  <r>
    <s v="USR-101044"/>
    <d v="2025-05-08T00:00:00"/>
    <x v="1"/>
    <x v="2"/>
    <x v="1"/>
    <x v="2"/>
    <x v="2"/>
    <n v="0"/>
    <n v="0"/>
    <n v="0"/>
    <n v="0"/>
    <n v="0"/>
    <n v="0"/>
    <n v="0"/>
    <n v="0"/>
    <m/>
    <n v="44.9"/>
  </r>
  <r>
    <s v="USR-101045"/>
    <d v="2025-02-26T00:00:00"/>
    <x v="1"/>
    <x v="2"/>
    <x v="0"/>
    <x v="5"/>
    <x v="0"/>
    <n v="1"/>
    <n v="0"/>
    <n v="0"/>
    <n v="0"/>
    <n v="0"/>
    <n v="0"/>
    <n v="0"/>
    <n v="0"/>
    <m/>
    <n v="68"/>
  </r>
  <r>
    <s v="USR-101046"/>
    <d v="2025-03-30T00:00:00"/>
    <x v="1"/>
    <x v="0"/>
    <x v="1"/>
    <x v="2"/>
    <x v="1"/>
    <n v="1"/>
    <n v="0"/>
    <n v="0"/>
    <n v="0"/>
    <n v="0"/>
    <n v="0"/>
    <n v="0"/>
    <n v="0"/>
    <m/>
    <n v="61"/>
  </r>
  <r>
    <s v="USR-101047"/>
    <d v="2025-04-13T00:00:00"/>
    <x v="1"/>
    <x v="1"/>
    <x v="1"/>
    <x v="1"/>
    <x v="0"/>
    <n v="1"/>
    <n v="0"/>
    <n v="0"/>
    <n v="0"/>
    <n v="0"/>
    <n v="0"/>
    <n v="0"/>
    <n v="0"/>
    <m/>
    <n v="55"/>
  </r>
  <r>
    <s v="USR-101048"/>
    <d v="2025-02-20T00:00:00"/>
    <x v="1"/>
    <x v="2"/>
    <x v="3"/>
    <x v="2"/>
    <x v="0"/>
    <n v="1"/>
    <n v="0"/>
    <n v="0"/>
    <n v="0"/>
    <n v="0"/>
    <n v="0"/>
    <n v="0"/>
    <n v="0"/>
    <m/>
    <n v="63.1"/>
  </r>
  <r>
    <s v="USR-101049"/>
    <d v="2025-04-19T00:00:00"/>
    <x v="1"/>
    <x v="1"/>
    <x v="0"/>
    <x v="4"/>
    <x v="1"/>
    <n v="1"/>
    <n v="0"/>
    <n v="0"/>
    <n v="0"/>
    <n v="0"/>
    <n v="0"/>
    <n v="0"/>
    <n v="0"/>
    <m/>
    <n v="75.8"/>
  </r>
  <r>
    <s v="USR-101050"/>
    <d v="2025-03-22T00:00:00"/>
    <x v="1"/>
    <x v="3"/>
    <x v="1"/>
    <x v="2"/>
    <x v="1"/>
    <n v="1"/>
    <n v="1"/>
    <n v="0"/>
    <n v="0"/>
    <n v="0"/>
    <n v="1"/>
    <n v="1"/>
    <n v="0"/>
    <m/>
    <n v="43.8"/>
  </r>
  <r>
    <s v="USR-101051"/>
    <d v="2025-02-28T00:00:00"/>
    <x v="1"/>
    <x v="0"/>
    <x v="1"/>
    <x v="0"/>
    <x v="0"/>
    <n v="1"/>
    <n v="1"/>
    <n v="0"/>
    <n v="0"/>
    <n v="0"/>
    <n v="0"/>
    <n v="0"/>
    <n v="0"/>
    <m/>
    <n v="46.8"/>
  </r>
  <r>
    <s v="USR-101052"/>
    <d v="2025-05-24T00:00:00"/>
    <x v="1"/>
    <x v="2"/>
    <x v="1"/>
    <x v="4"/>
    <x v="1"/>
    <n v="1"/>
    <n v="1"/>
    <n v="1"/>
    <n v="0"/>
    <n v="0"/>
    <n v="0"/>
    <n v="0"/>
    <n v="0"/>
    <m/>
    <n v="97.4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0"/>
    <n v="14"/>
    <n v="81"/>
  </r>
  <r>
    <s v="USR-101054"/>
    <d v="2025-01-27T00:00:00"/>
    <x v="1"/>
    <x v="3"/>
    <x v="1"/>
    <x v="1"/>
    <x v="1"/>
    <n v="1"/>
    <n v="0"/>
    <n v="0"/>
    <n v="0"/>
    <n v="0"/>
    <n v="1"/>
    <n v="1"/>
    <n v="0"/>
    <m/>
    <n v="58.9"/>
  </r>
  <r>
    <s v="USR-101055"/>
    <d v="2025-04-17T00:00:00"/>
    <x v="1"/>
    <x v="2"/>
    <x v="1"/>
    <x v="1"/>
    <x v="1"/>
    <n v="1"/>
    <n v="0"/>
    <n v="0"/>
    <n v="0"/>
    <n v="0"/>
    <n v="0"/>
    <n v="0"/>
    <n v="0"/>
    <m/>
    <n v="51.9"/>
  </r>
  <r>
    <s v="USR-101056"/>
    <d v="2025-02-06T00:00:00"/>
    <x v="1"/>
    <x v="1"/>
    <x v="1"/>
    <x v="4"/>
    <x v="1"/>
    <n v="1"/>
    <n v="1"/>
    <n v="0"/>
    <n v="0"/>
    <n v="0"/>
    <n v="0"/>
    <n v="0"/>
    <n v="0"/>
    <m/>
    <n v="61.7"/>
  </r>
  <r>
    <s v="USR-101057"/>
    <d v="2025-04-20T00:00:00"/>
    <x v="1"/>
    <x v="3"/>
    <x v="1"/>
    <x v="2"/>
    <x v="1"/>
    <n v="1"/>
    <n v="0"/>
    <n v="0"/>
    <n v="0"/>
    <n v="0"/>
    <n v="0"/>
    <n v="0"/>
    <n v="0"/>
    <m/>
    <n v="44.7"/>
  </r>
  <r>
    <s v="USR-101058"/>
    <d v="2025-05-06T00:00:00"/>
    <x v="1"/>
    <x v="0"/>
    <x v="1"/>
    <x v="2"/>
    <x v="0"/>
    <n v="0"/>
    <n v="0"/>
    <n v="0"/>
    <n v="0"/>
    <n v="0"/>
    <n v="0"/>
    <n v="0"/>
    <n v="0"/>
    <m/>
    <n v="63.2"/>
  </r>
  <r>
    <s v="USR-101059"/>
    <d v="2025-05-16T00:00:00"/>
    <x v="1"/>
    <x v="3"/>
    <x v="1"/>
    <x v="1"/>
    <x v="1"/>
    <n v="1"/>
    <n v="0"/>
    <n v="0"/>
    <n v="0"/>
    <n v="0"/>
    <n v="0"/>
    <n v="0"/>
    <n v="0"/>
    <m/>
    <n v="70.3"/>
  </r>
  <r>
    <s v="USR-101060"/>
    <d v="2025-03-02T00:00:00"/>
    <x v="1"/>
    <x v="3"/>
    <x v="1"/>
    <x v="2"/>
    <x v="2"/>
    <n v="1"/>
    <n v="1"/>
    <n v="0"/>
    <n v="0"/>
    <n v="0"/>
    <n v="1"/>
    <n v="1"/>
    <n v="0"/>
    <m/>
    <n v="83.1"/>
  </r>
  <r>
    <s v="USR-101061"/>
    <d v="2025-04-09T00:00:00"/>
    <x v="1"/>
    <x v="1"/>
    <x v="1"/>
    <x v="4"/>
    <x v="1"/>
    <n v="0"/>
    <n v="0"/>
    <n v="0"/>
    <n v="0"/>
    <n v="0"/>
    <n v="0"/>
    <n v="0"/>
    <n v="0"/>
    <m/>
    <n v="50.3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1"/>
    <n v="58.2"/>
  </r>
  <r>
    <s v="USR-101063"/>
    <d v="2025-02-25T00:00:00"/>
    <x v="1"/>
    <x v="3"/>
    <x v="1"/>
    <x v="2"/>
    <x v="0"/>
    <n v="1"/>
    <n v="1"/>
    <n v="1"/>
    <n v="0"/>
    <n v="0"/>
    <n v="0"/>
    <n v="0"/>
    <n v="0"/>
    <m/>
    <n v="53.2"/>
  </r>
  <r>
    <s v="USR-101064"/>
    <d v="2025-01-07T00:00:00"/>
    <x v="1"/>
    <x v="2"/>
    <x v="1"/>
    <x v="1"/>
    <x v="2"/>
    <n v="0"/>
    <n v="0"/>
    <n v="0"/>
    <n v="0"/>
    <n v="0"/>
    <n v="0"/>
    <n v="0"/>
    <n v="0"/>
    <m/>
    <n v="36.4"/>
  </r>
  <r>
    <s v="USR-101065"/>
    <d v="2025-03-08T00:00:00"/>
    <x v="1"/>
    <x v="3"/>
    <x v="1"/>
    <x v="4"/>
    <x v="0"/>
    <n v="1"/>
    <n v="1"/>
    <n v="1"/>
    <n v="0"/>
    <n v="0"/>
    <n v="0"/>
    <n v="0"/>
    <n v="0"/>
    <m/>
    <n v="72.7"/>
  </r>
  <r>
    <s v="USR-101066"/>
    <d v="2025-05-22T00:00:00"/>
    <x v="1"/>
    <x v="2"/>
    <x v="1"/>
    <x v="3"/>
    <x v="1"/>
    <n v="1"/>
    <n v="0"/>
    <n v="0"/>
    <n v="0"/>
    <n v="0"/>
    <n v="1"/>
    <n v="1"/>
    <n v="0"/>
    <m/>
    <n v="86.7"/>
  </r>
  <r>
    <s v="USR-101067"/>
    <d v="2025-04-18T00:00:00"/>
    <x v="1"/>
    <x v="2"/>
    <x v="1"/>
    <x v="2"/>
    <x v="2"/>
    <n v="1"/>
    <n v="0"/>
    <n v="0"/>
    <n v="0"/>
    <n v="0"/>
    <n v="0"/>
    <n v="0"/>
    <n v="0"/>
    <m/>
    <n v="48.2"/>
  </r>
  <r>
    <s v="USR-101068"/>
    <d v="2025-02-24T00:00:00"/>
    <x v="1"/>
    <x v="1"/>
    <x v="1"/>
    <x v="3"/>
    <x v="0"/>
    <n v="0"/>
    <n v="0"/>
    <n v="0"/>
    <n v="0"/>
    <n v="0"/>
    <n v="1"/>
    <n v="1"/>
    <n v="0"/>
    <m/>
    <n v="57.6"/>
  </r>
  <r>
    <s v="USR-101069"/>
    <d v="2025-02-11T00:00:00"/>
    <x v="1"/>
    <x v="0"/>
    <x v="1"/>
    <x v="1"/>
    <x v="1"/>
    <n v="1"/>
    <n v="1"/>
    <n v="1"/>
    <n v="0"/>
    <n v="0"/>
    <n v="0"/>
    <n v="0"/>
    <n v="0"/>
    <m/>
    <n v="75.7"/>
  </r>
  <r>
    <s v="USR-101070"/>
    <d v="2025-03-11T00:00:00"/>
    <x v="1"/>
    <x v="1"/>
    <x v="0"/>
    <x v="2"/>
    <x v="1"/>
    <n v="1"/>
    <n v="0"/>
    <n v="0"/>
    <n v="0"/>
    <n v="0"/>
    <n v="2"/>
    <n v="1"/>
    <n v="0"/>
    <m/>
    <n v="48.6"/>
  </r>
  <r>
    <s v="USR-101071"/>
    <d v="2025-04-11T00:00:00"/>
    <x v="1"/>
    <x v="2"/>
    <x v="2"/>
    <x v="3"/>
    <x v="1"/>
    <n v="1"/>
    <n v="1"/>
    <n v="1"/>
    <n v="0"/>
    <n v="0"/>
    <n v="0"/>
    <n v="0"/>
    <n v="0"/>
    <m/>
    <n v="72"/>
  </r>
  <r>
    <s v="USR-101072"/>
    <d v="2025-03-11T00:00:00"/>
    <x v="1"/>
    <x v="0"/>
    <x v="1"/>
    <x v="1"/>
    <x v="1"/>
    <n v="0"/>
    <n v="0"/>
    <n v="0"/>
    <n v="0"/>
    <n v="0"/>
    <n v="0"/>
    <n v="0"/>
    <n v="0"/>
    <m/>
    <n v="72.2"/>
  </r>
  <r>
    <s v="USR-101073"/>
    <d v="2025-05-22T00:00:00"/>
    <x v="1"/>
    <x v="2"/>
    <x v="1"/>
    <x v="3"/>
    <x v="1"/>
    <n v="1"/>
    <n v="0"/>
    <n v="0"/>
    <n v="0"/>
    <n v="0"/>
    <n v="1"/>
    <n v="1"/>
    <n v="0"/>
    <m/>
    <m/>
  </r>
  <r>
    <s v="USR-101074"/>
    <d v="2025-02-22T00:00:00"/>
    <x v="1"/>
    <x v="3"/>
    <x v="0"/>
    <x v="1"/>
    <x v="1"/>
    <n v="1"/>
    <n v="1"/>
    <n v="1"/>
    <n v="1"/>
    <n v="331.53"/>
    <n v="2"/>
    <n v="1"/>
    <n v="0"/>
    <n v="4"/>
    <n v="56.8"/>
  </r>
  <r>
    <s v="USR-101075"/>
    <d v="2025-01-13T00:00:00"/>
    <x v="1"/>
    <x v="2"/>
    <x v="1"/>
    <x v="2"/>
    <x v="0"/>
    <n v="1"/>
    <n v="0"/>
    <n v="0"/>
    <n v="0"/>
    <n v="0"/>
    <n v="0"/>
    <n v="0"/>
    <n v="0"/>
    <m/>
    <n v="62.5"/>
  </r>
  <r>
    <s v="USR-101076"/>
    <d v="2025-05-19T00:00:00"/>
    <x v="1"/>
    <x v="3"/>
    <x v="1"/>
    <x v="1"/>
    <x v="1"/>
    <n v="1"/>
    <n v="0"/>
    <n v="0"/>
    <n v="0"/>
    <n v="0"/>
    <n v="0"/>
    <n v="0"/>
    <n v="0"/>
    <m/>
    <n v="63.4"/>
  </r>
  <r>
    <s v="USR-101077"/>
    <d v="2025-03-08T00:00:00"/>
    <x v="1"/>
    <x v="0"/>
    <x v="2"/>
    <x v="1"/>
    <x v="0"/>
    <n v="1"/>
    <n v="1"/>
    <n v="1"/>
    <n v="1"/>
    <n v="774.78"/>
    <n v="0"/>
    <n v="0"/>
    <n v="0"/>
    <n v="3"/>
    <n v="46.8"/>
  </r>
  <r>
    <s v="USR-101078"/>
    <d v="2025-04-20T00:00:00"/>
    <x v="1"/>
    <x v="3"/>
    <x v="1"/>
    <x v="1"/>
    <x v="1"/>
    <n v="1"/>
    <n v="1"/>
    <n v="1"/>
    <n v="1"/>
    <n v="422.02"/>
    <n v="0"/>
    <n v="0"/>
    <n v="0"/>
    <n v="8"/>
    <n v="86.5"/>
  </r>
  <r>
    <s v="USR-101079"/>
    <d v="2025-05-08T00:00:00"/>
    <x v="1"/>
    <x v="1"/>
    <x v="1"/>
    <x v="0"/>
    <x v="0"/>
    <n v="0"/>
    <n v="0"/>
    <n v="0"/>
    <n v="0"/>
    <n v="0"/>
    <n v="1"/>
    <n v="1"/>
    <n v="0"/>
    <m/>
    <n v="75.099999999999994"/>
  </r>
  <r>
    <s v="USR-101080"/>
    <d v="2025-05-10T00:00:00"/>
    <x v="1"/>
    <x v="3"/>
    <x v="1"/>
    <x v="1"/>
    <x v="0"/>
    <n v="1"/>
    <n v="0"/>
    <n v="0"/>
    <n v="0"/>
    <n v="0"/>
    <n v="0"/>
    <n v="0"/>
    <n v="0"/>
    <m/>
    <n v="64.5"/>
  </r>
  <r>
    <s v="USR-101081"/>
    <d v="2025-03-28T00:00:00"/>
    <x v="1"/>
    <x v="2"/>
    <x v="1"/>
    <x v="1"/>
    <x v="1"/>
    <n v="1"/>
    <n v="0"/>
    <n v="0"/>
    <n v="0"/>
    <n v="0"/>
    <n v="0"/>
    <n v="0"/>
    <n v="0"/>
    <m/>
    <n v="54.2"/>
  </r>
  <r>
    <s v="USR-101082"/>
    <d v="2025-04-30T00:00:00"/>
    <x v="1"/>
    <x v="2"/>
    <x v="1"/>
    <x v="2"/>
    <x v="2"/>
    <n v="1"/>
    <n v="1"/>
    <n v="1"/>
    <n v="0"/>
    <n v="0"/>
    <n v="0"/>
    <n v="0"/>
    <n v="0"/>
    <m/>
    <n v="84.1"/>
  </r>
  <r>
    <s v="USR-101083"/>
    <d v="2025-02-08T00:00:00"/>
    <x v="1"/>
    <x v="0"/>
    <x v="1"/>
    <x v="1"/>
    <x v="0"/>
    <n v="0"/>
    <n v="0"/>
    <n v="0"/>
    <n v="0"/>
    <n v="0"/>
    <n v="1"/>
    <n v="1"/>
    <n v="0"/>
    <m/>
    <n v="49.1"/>
  </r>
  <r>
    <s v="USR-101084"/>
    <d v="2025-03-07T00:00:00"/>
    <x v="1"/>
    <x v="3"/>
    <x v="1"/>
    <x v="3"/>
    <x v="2"/>
    <n v="0"/>
    <n v="0"/>
    <n v="0"/>
    <n v="0"/>
    <n v="0"/>
    <n v="0"/>
    <n v="0"/>
    <n v="0"/>
    <m/>
    <n v="92.7"/>
  </r>
  <r>
    <s v="USR-101085"/>
    <d v="2025-05-21T00:00:00"/>
    <x v="1"/>
    <x v="3"/>
    <x v="1"/>
    <x v="4"/>
    <x v="0"/>
    <n v="1"/>
    <n v="1"/>
    <n v="1"/>
    <n v="0"/>
    <n v="0"/>
    <n v="1"/>
    <n v="1"/>
    <n v="0"/>
    <m/>
    <n v="58.7"/>
  </r>
  <r>
    <s v="USR-101086"/>
    <d v="2025-04-12T00:00:00"/>
    <x v="1"/>
    <x v="3"/>
    <x v="1"/>
    <x v="4"/>
    <x v="1"/>
    <n v="1"/>
    <n v="1"/>
    <n v="1"/>
    <n v="0"/>
    <n v="0"/>
    <n v="0"/>
    <n v="0"/>
    <n v="0"/>
    <m/>
    <n v="59.3"/>
  </r>
  <r>
    <s v="USR-101087"/>
    <d v="2025-02-02T00:00:00"/>
    <x v="1"/>
    <x v="3"/>
    <x v="1"/>
    <x v="2"/>
    <x v="1"/>
    <n v="1"/>
    <n v="0"/>
    <n v="0"/>
    <n v="0"/>
    <n v="0"/>
    <n v="0"/>
    <n v="0"/>
    <n v="0"/>
    <m/>
    <n v="62"/>
  </r>
  <r>
    <s v="USR-101088"/>
    <d v="2025-04-22T00:00:00"/>
    <x v="1"/>
    <x v="0"/>
    <x v="2"/>
    <x v="3"/>
    <x v="1"/>
    <n v="1"/>
    <n v="1"/>
    <n v="1"/>
    <n v="0"/>
    <n v="0"/>
    <n v="1"/>
    <n v="1"/>
    <n v="0"/>
    <m/>
    <n v="60.3"/>
  </r>
  <r>
    <s v="USR-101089"/>
    <d v="2025-02-08T00:00:00"/>
    <x v="1"/>
    <x v="0"/>
    <x v="1"/>
    <x v="4"/>
    <x v="0"/>
    <n v="1"/>
    <n v="0"/>
    <n v="0"/>
    <n v="0"/>
    <n v="0"/>
    <n v="0"/>
    <n v="0"/>
    <n v="0"/>
    <m/>
    <n v="70.5"/>
  </r>
  <r>
    <s v="USR-101090"/>
    <d v="2025-01-24T00:00:00"/>
    <x v="1"/>
    <x v="3"/>
    <x v="0"/>
    <x v="0"/>
    <x v="1"/>
    <n v="1"/>
    <n v="0"/>
    <n v="0"/>
    <n v="0"/>
    <n v="0"/>
    <n v="0"/>
    <n v="0"/>
    <n v="0"/>
    <m/>
    <n v="36.799999999999997"/>
  </r>
  <r>
    <s v="USR-101091"/>
    <d v="2025-05-12T00:00:00"/>
    <x v="1"/>
    <x v="3"/>
    <x v="1"/>
    <x v="2"/>
    <x v="0"/>
    <n v="0"/>
    <n v="0"/>
    <n v="0"/>
    <n v="0"/>
    <n v="0"/>
    <n v="1"/>
    <n v="1"/>
    <n v="0"/>
    <m/>
    <n v="73.2"/>
  </r>
  <r>
    <s v="USR-101092"/>
    <d v="2025-03-30T00:00:00"/>
    <x v="1"/>
    <x v="0"/>
    <x v="1"/>
    <x v="1"/>
    <x v="0"/>
    <n v="0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x v="0"/>
    <n v="1"/>
    <n v="0"/>
    <n v="0"/>
    <n v="0"/>
    <n v="0"/>
    <n v="0"/>
    <n v="0"/>
    <n v="0"/>
    <m/>
    <n v="76.400000000000006"/>
  </r>
  <r>
    <s v="USR-101094"/>
    <d v="2025-03-21T00:00:00"/>
    <x v="1"/>
    <x v="3"/>
    <x v="2"/>
    <x v="0"/>
    <x v="0"/>
    <n v="0"/>
    <n v="0"/>
    <n v="0"/>
    <n v="0"/>
    <n v="0"/>
    <n v="0"/>
    <n v="0"/>
    <n v="0"/>
    <m/>
    <n v="46.4"/>
  </r>
  <r>
    <s v="USR-101095"/>
    <d v="2025-01-25T00:00:00"/>
    <x v="1"/>
    <x v="1"/>
    <x v="1"/>
    <x v="1"/>
    <x v="1"/>
    <n v="1"/>
    <n v="1"/>
    <n v="1"/>
    <n v="0"/>
    <n v="0"/>
    <n v="1"/>
    <n v="1"/>
    <n v="0"/>
    <m/>
    <n v="81.3"/>
  </r>
  <r>
    <s v="USR-101096"/>
    <d v="2025-01-12T00:00:00"/>
    <x v="1"/>
    <x v="3"/>
    <x v="2"/>
    <x v="4"/>
    <x v="1"/>
    <n v="1"/>
    <n v="1"/>
    <n v="1"/>
    <n v="0"/>
    <n v="0"/>
    <n v="0"/>
    <n v="0"/>
    <n v="0"/>
    <m/>
    <n v="55.3"/>
  </r>
  <r>
    <s v="USR-101097"/>
    <d v="2025-03-18T00:00:00"/>
    <x v="1"/>
    <x v="2"/>
    <x v="0"/>
    <x v="3"/>
    <x v="1"/>
    <n v="1"/>
    <n v="0"/>
    <n v="0"/>
    <n v="0"/>
    <n v="0"/>
    <n v="0"/>
    <n v="0"/>
    <n v="0"/>
    <m/>
    <n v="44.7"/>
  </r>
  <r>
    <s v="USR-101098"/>
    <d v="2025-03-26T00:00:00"/>
    <x v="1"/>
    <x v="2"/>
    <x v="1"/>
    <x v="2"/>
    <x v="0"/>
    <n v="1"/>
    <n v="0"/>
    <n v="0"/>
    <n v="0"/>
    <n v="0"/>
    <n v="0"/>
    <n v="0"/>
    <n v="0"/>
    <m/>
    <n v="67.2"/>
  </r>
  <r>
    <s v="USR-101099"/>
    <d v="2025-04-19T00:00:00"/>
    <x v="1"/>
    <x v="0"/>
    <x v="1"/>
    <x v="2"/>
    <x v="0"/>
    <n v="1"/>
    <n v="0"/>
    <n v="0"/>
    <n v="0"/>
    <n v="0"/>
    <n v="0"/>
    <n v="0"/>
    <n v="0"/>
    <m/>
    <m/>
  </r>
  <r>
    <s v="USR-101100"/>
    <d v="2025-04-17T00:00:00"/>
    <x v="1"/>
    <x v="2"/>
    <x v="1"/>
    <x v="1"/>
    <x v="2"/>
    <n v="1"/>
    <n v="1"/>
    <n v="1"/>
    <n v="0"/>
    <n v="0"/>
    <n v="1"/>
    <n v="1"/>
    <n v="0"/>
    <m/>
    <n v="70.8"/>
  </r>
  <r>
    <s v="USR-101101"/>
    <d v="2025-05-26T00:00:00"/>
    <x v="1"/>
    <x v="3"/>
    <x v="1"/>
    <x v="2"/>
    <x v="1"/>
    <n v="1"/>
    <n v="0"/>
    <n v="0"/>
    <n v="0"/>
    <n v="0"/>
    <n v="0"/>
    <n v="0"/>
    <n v="0"/>
    <m/>
    <n v="71.3"/>
  </r>
  <r>
    <s v="USR-101102"/>
    <d v="2025-04-14T00:00:00"/>
    <x v="1"/>
    <x v="0"/>
    <x v="1"/>
    <x v="4"/>
    <x v="2"/>
    <n v="1"/>
    <n v="1"/>
    <n v="1"/>
    <n v="0"/>
    <n v="0"/>
    <n v="0"/>
    <n v="0"/>
    <n v="0"/>
    <m/>
    <n v="69.400000000000006"/>
  </r>
  <r>
    <s v="USR-101103"/>
    <d v="2025-01-23T00:00:00"/>
    <x v="1"/>
    <x v="3"/>
    <x v="1"/>
    <x v="1"/>
    <x v="0"/>
    <n v="1"/>
    <n v="1"/>
    <n v="0"/>
    <n v="0"/>
    <n v="0"/>
    <n v="0"/>
    <n v="0"/>
    <n v="0"/>
    <m/>
    <n v="58.9"/>
  </r>
  <r>
    <s v="USR-101104"/>
    <d v="2025-01-06T00:00:00"/>
    <x v="1"/>
    <x v="2"/>
    <x v="1"/>
    <x v="3"/>
    <x v="1"/>
    <n v="0"/>
    <n v="0"/>
    <n v="0"/>
    <n v="0"/>
    <n v="0"/>
    <n v="0"/>
    <n v="0"/>
    <n v="0"/>
    <m/>
    <n v="70.7"/>
  </r>
  <r>
    <s v="USR-101105"/>
    <d v="2025-05-31T00:00:00"/>
    <x v="1"/>
    <x v="1"/>
    <x v="1"/>
    <x v="0"/>
    <x v="0"/>
    <n v="1"/>
    <n v="0"/>
    <n v="0"/>
    <n v="0"/>
    <n v="0"/>
    <n v="0"/>
    <n v="0"/>
    <n v="0"/>
    <m/>
    <n v="60.5"/>
  </r>
  <r>
    <s v="USR-101106"/>
    <d v="2025-05-19T00:00:00"/>
    <x v="1"/>
    <x v="0"/>
    <x v="1"/>
    <x v="1"/>
    <x v="0"/>
    <n v="1"/>
    <n v="1"/>
    <n v="1"/>
    <n v="0"/>
    <n v="0"/>
    <n v="0"/>
    <n v="0"/>
    <n v="0"/>
    <m/>
    <n v="77.3"/>
  </r>
  <r>
    <s v="USR-101107"/>
    <d v="2025-02-25T00:00:00"/>
    <x v="1"/>
    <x v="0"/>
    <x v="1"/>
    <x v="1"/>
    <x v="1"/>
    <n v="0"/>
    <n v="0"/>
    <n v="0"/>
    <n v="0"/>
    <n v="0"/>
    <n v="1"/>
    <n v="1"/>
    <n v="0"/>
    <m/>
    <n v="39.5"/>
  </r>
  <r>
    <s v="USR-101108"/>
    <d v="2025-01-10T00:00:00"/>
    <x v="1"/>
    <x v="3"/>
    <x v="2"/>
    <x v="1"/>
    <x v="0"/>
    <n v="1"/>
    <n v="0"/>
    <n v="0"/>
    <n v="0"/>
    <n v="0"/>
    <n v="0"/>
    <n v="0"/>
    <n v="0"/>
    <m/>
    <n v="68.099999999999994"/>
  </r>
  <r>
    <s v="USR-101109"/>
    <d v="2025-05-13T00:00:00"/>
    <x v="1"/>
    <x v="0"/>
    <x v="2"/>
    <x v="2"/>
    <x v="1"/>
    <n v="0"/>
    <n v="0"/>
    <n v="0"/>
    <n v="0"/>
    <n v="0"/>
    <n v="0"/>
    <n v="0"/>
    <n v="0"/>
    <m/>
    <n v="80.3"/>
  </r>
  <r>
    <s v="USR-101110"/>
    <d v="2025-04-27T00:00:00"/>
    <x v="1"/>
    <x v="1"/>
    <x v="0"/>
    <x v="1"/>
    <x v="2"/>
    <n v="1"/>
    <n v="0"/>
    <n v="0"/>
    <n v="0"/>
    <n v="0"/>
    <n v="0"/>
    <n v="0"/>
    <n v="0"/>
    <m/>
    <n v="77.7"/>
  </r>
  <r>
    <s v="USR-101111"/>
    <d v="2025-04-03T00:00:00"/>
    <x v="1"/>
    <x v="3"/>
    <x v="1"/>
    <x v="1"/>
    <x v="1"/>
    <n v="1"/>
    <n v="0"/>
    <n v="0"/>
    <n v="0"/>
    <n v="0"/>
    <n v="1"/>
    <n v="1"/>
    <n v="0"/>
    <m/>
    <n v="66.2"/>
  </r>
  <r>
    <s v="USR-101112"/>
    <d v="2025-03-26T00:00:00"/>
    <x v="1"/>
    <x v="3"/>
    <x v="1"/>
    <x v="1"/>
    <x v="1"/>
    <n v="1"/>
    <n v="1"/>
    <n v="1"/>
    <n v="0"/>
    <n v="0"/>
    <n v="1"/>
    <n v="1"/>
    <n v="0"/>
    <m/>
    <n v="43.9"/>
  </r>
  <r>
    <s v="USR-101113"/>
    <d v="2025-01-31T00:00:00"/>
    <x v="1"/>
    <x v="3"/>
    <x v="1"/>
    <x v="1"/>
    <x v="0"/>
    <n v="1"/>
    <n v="1"/>
    <n v="1"/>
    <n v="0"/>
    <n v="0"/>
    <n v="2"/>
    <n v="1"/>
    <n v="0"/>
    <m/>
    <n v="59.1"/>
  </r>
  <r>
    <s v="USR-101114"/>
    <d v="2025-01-25T00:00:00"/>
    <x v="1"/>
    <x v="3"/>
    <x v="1"/>
    <x v="4"/>
    <x v="1"/>
    <n v="1"/>
    <n v="1"/>
    <n v="1"/>
    <n v="1"/>
    <n v="416.94"/>
    <n v="1"/>
    <n v="1"/>
    <n v="0"/>
    <n v="11"/>
    <n v="67"/>
  </r>
  <r>
    <s v="USR-101115"/>
    <d v="2025-02-06T00:00:00"/>
    <x v="1"/>
    <x v="1"/>
    <x v="1"/>
    <x v="3"/>
    <x v="0"/>
    <n v="1"/>
    <n v="0"/>
    <n v="0"/>
    <n v="0"/>
    <n v="0"/>
    <n v="0"/>
    <n v="0"/>
    <n v="0"/>
    <m/>
    <n v="47.9"/>
  </r>
  <r>
    <s v="USR-101116"/>
    <d v="2025-03-10T00:00:00"/>
    <x v="1"/>
    <x v="2"/>
    <x v="1"/>
    <x v="2"/>
    <x v="1"/>
    <n v="1"/>
    <n v="1"/>
    <n v="0"/>
    <n v="0"/>
    <n v="0"/>
    <n v="0"/>
    <n v="0"/>
    <n v="0"/>
    <m/>
    <n v="41.5"/>
  </r>
  <r>
    <s v="USR-101117"/>
    <d v="2025-01-26T00:00:00"/>
    <x v="1"/>
    <x v="1"/>
    <x v="1"/>
    <x v="1"/>
    <x v="0"/>
    <n v="1"/>
    <n v="1"/>
    <n v="1"/>
    <n v="0"/>
    <n v="0"/>
    <n v="3"/>
    <n v="1"/>
    <n v="0"/>
    <m/>
    <n v="30.6"/>
  </r>
  <r>
    <s v="USR-101118"/>
    <d v="2025-01-01T00:00:00"/>
    <x v="1"/>
    <x v="2"/>
    <x v="1"/>
    <x v="2"/>
    <x v="1"/>
    <n v="1"/>
    <n v="1"/>
    <n v="0"/>
    <n v="0"/>
    <n v="0"/>
    <n v="0"/>
    <n v="0"/>
    <n v="0"/>
    <m/>
    <n v="91.5"/>
  </r>
  <r>
    <s v="USR-101119"/>
    <d v="2025-04-28T00:00:00"/>
    <x v="1"/>
    <x v="0"/>
    <x v="0"/>
    <x v="4"/>
    <x v="0"/>
    <n v="1"/>
    <n v="0"/>
    <n v="0"/>
    <n v="0"/>
    <n v="0"/>
    <n v="0"/>
    <n v="0"/>
    <n v="0"/>
    <m/>
    <n v="80.8"/>
  </r>
  <r>
    <s v="USR-101120"/>
    <d v="2025-04-04T00:00:00"/>
    <x v="1"/>
    <x v="0"/>
    <x v="1"/>
    <x v="1"/>
    <x v="2"/>
    <n v="1"/>
    <n v="0"/>
    <n v="0"/>
    <n v="0"/>
    <n v="0"/>
    <n v="0"/>
    <n v="0"/>
    <n v="0"/>
    <m/>
    <n v="68.099999999999994"/>
  </r>
  <r>
    <s v="USR-101121"/>
    <d v="2025-03-02T00:00:00"/>
    <x v="1"/>
    <x v="2"/>
    <x v="1"/>
    <x v="2"/>
    <x v="1"/>
    <n v="1"/>
    <n v="0"/>
    <n v="0"/>
    <n v="0"/>
    <n v="0"/>
    <n v="0"/>
    <n v="0"/>
    <n v="0"/>
    <m/>
    <n v="80.3"/>
  </r>
  <r>
    <s v="USR-101122"/>
    <d v="2025-03-19T00:00:00"/>
    <x v="1"/>
    <x v="3"/>
    <x v="2"/>
    <x v="1"/>
    <x v="0"/>
    <n v="1"/>
    <n v="0"/>
    <n v="0"/>
    <n v="0"/>
    <n v="0"/>
    <n v="0"/>
    <n v="0"/>
    <n v="0"/>
    <m/>
    <n v="44.4"/>
  </r>
  <r>
    <s v="USR-101123"/>
    <d v="2025-01-20T00:00:00"/>
    <x v="1"/>
    <x v="3"/>
    <x v="0"/>
    <x v="1"/>
    <x v="0"/>
    <n v="0"/>
    <n v="0"/>
    <n v="0"/>
    <n v="0"/>
    <n v="0"/>
    <n v="0"/>
    <n v="0"/>
    <n v="0"/>
    <m/>
    <n v="51.9"/>
  </r>
  <r>
    <s v="USR-101124"/>
    <d v="2025-04-03T00:00:00"/>
    <x v="1"/>
    <x v="2"/>
    <x v="1"/>
    <x v="2"/>
    <x v="1"/>
    <n v="1"/>
    <n v="1"/>
    <n v="0"/>
    <n v="0"/>
    <n v="0"/>
    <n v="0"/>
    <n v="0"/>
    <n v="0"/>
    <m/>
    <n v="49.8"/>
  </r>
  <r>
    <s v="USR-101125"/>
    <d v="2025-01-11T00:00:00"/>
    <x v="1"/>
    <x v="2"/>
    <x v="0"/>
    <x v="4"/>
    <x v="1"/>
    <n v="1"/>
    <n v="1"/>
    <n v="1"/>
    <n v="0"/>
    <n v="0"/>
    <n v="3"/>
    <n v="1"/>
    <n v="0"/>
    <m/>
    <n v="62.1"/>
  </r>
  <r>
    <s v="USR-101126"/>
    <d v="2025-02-02T00:00:00"/>
    <x v="1"/>
    <x v="1"/>
    <x v="0"/>
    <x v="4"/>
    <x v="0"/>
    <n v="1"/>
    <n v="0"/>
    <n v="0"/>
    <n v="0"/>
    <n v="0"/>
    <n v="0"/>
    <n v="0"/>
    <n v="0"/>
    <m/>
    <n v="91.3"/>
  </r>
  <r>
    <s v="USR-101127"/>
    <d v="2025-04-01T00:00:00"/>
    <x v="1"/>
    <x v="3"/>
    <x v="1"/>
    <x v="1"/>
    <x v="0"/>
    <n v="1"/>
    <n v="0"/>
    <n v="0"/>
    <n v="0"/>
    <n v="0"/>
    <n v="0"/>
    <n v="0"/>
    <n v="0"/>
    <m/>
    <n v="66.400000000000006"/>
  </r>
  <r>
    <s v="USR-101128"/>
    <d v="2025-05-22T00:00:00"/>
    <x v="1"/>
    <x v="2"/>
    <x v="1"/>
    <x v="1"/>
    <x v="0"/>
    <n v="1"/>
    <n v="0"/>
    <n v="0"/>
    <n v="0"/>
    <n v="0"/>
    <n v="0"/>
    <n v="0"/>
    <n v="0"/>
    <m/>
    <n v="41.5"/>
  </r>
  <r>
    <s v="USR-101129"/>
    <d v="2025-02-20T00:00:00"/>
    <x v="1"/>
    <x v="1"/>
    <x v="1"/>
    <x v="1"/>
    <x v="0"/>
    <n v="0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x v="1"/>
    <n v="1"/>
    <n v="0"/>
    <n v="0"/>
    <n v="0"/>
    <n v="0"/>
    <n v="0"/>
    <n v="0"/>
    <n v="0"/>
    <m/>
    <n v="63.2"/>
  </r>
  <r>
    <s v="USR-101131"/>
    <d v="2025-05-01T00:00:00"/>
    <x v="1"/>
    <x v="1"/>
    <x v="0"/>
    <x v="3"/>
    <x v="1"/>
    <n v="1"/>
    <n v="1"/>
    <n v="1"/>
    <n v="0"/>
    <n v="0"/>
    <n v="3"/>
    <n v="1"/>
    <n v="0"/>
    <m/>
    <n v="75.7"/>
  </r>
  <r>
    <s v="USR-101132"/>
    <d v="2025-01-06T00:00:00"/>
    <x v="1"/>
    <x v="1"/>
    <x v="1"/>
    <x v="2"/>
    <x v="0"/>
    <n v="0"/>
    <n v="0"/>
    <n v="0"/>
    <n v="0"/>
    <n v="0"/>
    <n v="0"/>
    <n v="0"/>
    <n v="0"/>
    <m/>
    <n v="62.9"/>
  </r>
  <r>
    <s v="USR-101133"/>
    <d v="2025-04-12T00:00:00"/>
    <x v="1"/>
    <x v="0"/>
    <x v="0"/>
    <x v="2"/>
    <x v="2"/>
    <n v="1"/>
    <n v="0"/>
    <n v="0"/>
    <n v="0"/>
    <n v="0"/>
    <n v="3"/>
    <n v="1"/>
    <n v="0"/>
    <m/>
    <n v="64.599999999999994"/>
  </r>
  <r>
    <s v="USR-101134"/>
    <d v="2025-04-18T00:00:00"/>
    <x v="1"/>
    <x v="0"/>
    <x v="1"/>
    <x v="5"/>
    <x v="0"/>
    <n v="1"/>
    <n v="0"/>
    <n v="0"/>
    <n v="0"/>
    <n v="0"/>
    <n v="0"/>
    <n v="0"/>
    <n v="0"/>
    <m/>
    <n v="76.599999999999994"/>
  </r>
  <r>
    <s v="USR-101135"/>
    <d v="2025-03-24T00:00:00"/>
    <x v="1"/>
    <x v="2"/>
    <x v="1"/>
    <x v="4"/>
    <x v="0"/>
    <n v="1"/>
    <n v="0"/>
    <n v="0"/>
    <n v="0"/>
    <n v="0"/>
    <n v="0"/>
    <n v="0"/>
    <n v="0"/>
    <m/>
    <n v="74.8"/>
  </r>
  <r>
    <s v="USR-101136"/>
    <d v="2025-03-18T00:00:00"/>
    <x v="1"/>
    <x v="2"/>
    <x v="0"/>
    <x v="0"/>
    <x v="2"/>
    <n v="1"/>
    <n v="0"/>
    <n v="0"/>
    <n v="0"/>
    <n v="0"/>
    <n v="2"/>
    <n v="1"/>
    <n v="0"/>
    <m/>
    <n v="38.1"/>
  </r>
  <r>
    <s v="USR-101137"/>
    <d v="2025-04-30T00:00:00"/>
    <x v="1"/>
    <x v="3"/>
    <x v="2"/>
    <x v="2"/>
    <x v="0"/>
    <n v="1"/>
    <n v="1"/>
    <n v="0"/>
    <n v="0"/>
    <n v="0"/>
    <n v="0"/>
    <n v="0"/>
    <n v="0"/>
    <m/>
    <n v="60.2"/>
  </r>
  <r>
    <s v="USR-101138"/>
    <d v="2025-01-25T00:00:00"/>
    <x v="1"/>
    <x v="1"/>
    <x v="1"/>
    <x v="0"/>
    <x v="1"/>
    <n v="1"/>
    <n v="1"/>
    <n v="0"/>
    <n v="0"/>
    <n v="0"/>
    <n v="0"/>
    <n v="0"/>
    <n v="0"/>
    <m/>
    <n v="73.5"/>
  </r>
  <r>
    <s v="USR-101139"/>
    <d v="2025-04-10T00:00:00"/>
    <x v="1"/>
    <x v="3"/>
    <x v="1"/>
    <x v="1"/>
    <x v="1"/>
    <n v="1"/>
    <n v="0"/>
    <n v="0"/>
    <n v="0"/>
    <n v="0"/>
    <n v="0"/>
    <n v="0"/>
    <n v="0"/>
    <m/>
    <n v="70.900000000000006"/>
  </r>
  <r>
    <s v="USR-101140"/>
    <d v="2025-01-10T00:00:00"/>
    <x v="1"/>
    <x v="1"/>
    <x v="1"/>
    <x v="4"/>
    <x v="1"/>
    <n v="1"/>
    <n v="0"/>
    <n v="0"/>
    <n v="0"/>
    <n v="0"/>
    <n v="0"/>
    <n v="0"/>
    <n v="0"/>
    <m/>
    <n v="63.7"/>
  </r>
  <r>
    <s v="USR-101141"/>
    <d v="2025-02-11T00:00:00"/>
    <x v="1"/>
    <x v="3"/>
    <x v="1"/>
    <x v="2"/>
    <x v="1"/>
    <n v="1"/>
    <n v="0"/>
    <n v="0"/>
    <n v="0"/>
    <n v="0"/>
    <n v="0"/>
    <n v="0"/>
    <n v="0"/>
    <m/>
    <n v="86.5"/>
  </r>
  <r>
    <s v="USR-101142"/>
    <d v="2025-05-01T00:00:00"/>
    <x v="1"/>
    <x v="2"/>
    <x v="1"/>
    <x v="4"/>
    <x v="0"/>
    <n v="1"/>
    <n v="1"/>
    <n v="1"/>
    <n v="1"/>
    <n v="921.72"/>
    <n v="3"/>
    <n v="1"/>
    <n v="0"/>
    <n v="7"/>
    <n v="74.599999999999994"/>
  </r>
  <r>
    <s v="USR-101143"/>
    <d v="2025-01-18T00:00:00"/>
    <x v="1"/>
    <x v="2"/>
    <x v="1"/>
    <x v="1"/>
    <x v="1"/>
    <n v="1"/>
    <n v="0"/>
    <n v="0"/>
    <n v="0"/>
    <n v="0"/>
    <n v="0"/>
    <n v="0"/>
    <n v="0"/>
    <m/>
    <n v="46.6"/>
  </r>
  <r>
    <s v="USR-101144"/>
    <d v="2025-01-02T00:00:00"/>
    <x v="1"/>
    <x v="0"/>
    <x v="1"/>
    <x v="2"/>
    <x v="1"/>
    <n v="0"/>
    <n v="0"/>
    <n v="0"/>
    <n v="0"/>
    <n v="0"/>
    <n v="0"/>
    <n v="0"/>
    <n v="0"/>
    <m/>
    <n v="61.2"/>
  </r>
  <r>
    <s v="USR-101145"/>
    <d v="2025-05-11T00:00:00"/>
    <x v="1"/>
    <x v="1"/>
    <x v="1"/>
    <x v="1"/>
    <x v="1"/>
    <n v="1"/>
    <n v="1"/>
    <n v="1"/>
    <n v="1"/>
    <n v="290.39"/>
    <n v="0"/>
    <n v="0"/>
    <n v="0"/>
    <n v="4"/>
    <n v="54.4"/>
  </r>
  <r>
    <s v="USR-101146"/>
    <d v="2025-03-22T00:00:00"/>
    <x v="1"/>
    <x v="0"/>
    <x v="1"/>
    <x v="3"/>
    <x v="1"/>
    <n v="1"/>
    <n v="1"/>
    <n v="1"/>
    <n v="0"/>
    <n v="0"/>
    <n v="0"/>
    <n v="0"/>
    <n v="0"/>
    <m/>
    <n v="72"/>
  </r>
  <r>
    <s v="USR-101147"/>
    <d v="2025-05-02T00:00:00"/>
    <x v="1"/>
    <x v="3"/>
    <x v="1"/>
    <x v="4"/>
    <x v="2"/>
    <n v="1"/>
    <n v="1"/>
    <n v="1"/>
    <n v="1"/>
    <n v="1858.85"/>
    <n v="0"/>
    <n v="0"/>
    <n v="0"/>
    <n v="8"/>
    <n v="88.6"/>
  </r>
  <r>
    <s v="USR-101148"/>
    <d v="2025-05-26T00:00:00"/>
    <x v="1"/>
    <x v="2"/>
    <x v="0"/>
    <x v="5"/>
    <x v="0"/>
    <n v="1"/>
    <n v="0"/>
    <n v="0"/>
    <n v="0"/>
    <n v="0"/>
    <n v="0"/>
    <n v="0"/>
    <n v="0"/>
    <m/>
    <n v="77.599999999999994"/>
  </r>
  <r>
    <s v="USR-101149"/>
    <d v="2025-03-13T00:00:00"/>
    <x v="1"/>
    <x v="3"/>
    <x v="1"/>
    <x v="1"/>
    <x v="0"/>
    <n v="1"/>
    <n v="0"/>
    <n v="0"/>
    <n v="0"/>
    <n v="0"/>
    <n v="1"/>
    <n v="1"/>
    <n v="0"/>
    <m/>
    <n v="44.3"/>
  </r>
  <r>
    <s v="USR-101150"/>
    <d v="2025-05-17T00:00:00"/>
    <x v="1"/>
    <x v="3"/>
    <x v="0"/>
    <x v="2"/>
    <x v="1"/>
    <n v="1"/>
    <n v="1"/>
    <n v="0"/>
    <n v="0"/>
    <n v="0"/>
    <n v="0"/>
    <n v="0"/>
    <n v="0"/>
    <m/>
    <n v="49"/>
  </r>
  <r>
    <s v="USR-101151"/>
    <d v="2025-03-13T00:00:00"/>
    <x v="1"/>
    <x v="0"/>
    <x v="0"/>
    <x v="3"/>
    <x v="2"/>
    <n v="1"/>
    <n v="0"/>
    <n v="0"/>
    <n v="0"/>
    <n v="0"/>
    <n v="0"/>
    <n v="0"/>
    <n v="0"/>
    <m/>
    <n v="53.9"/>
  </r>
  <r>
    <s v="USR-101152"/>
    <d v="2025-02-11T00:00:00"/>
    <x v="1"/>
    <x v="2"/>
    <x v="0"/>
    <x v="1"/>
    <x v="0"/>
    <n v="1"/>
    <n v="0"/>
    <n v="0"/>
    <n v="0"/>
    <n v="0"/>
    <n v="1"/>
    <n v="1"/>
    <n v="0"/>
    <m/>
    <n v="69"/>
  </r>
  <r>
    <s v="USR-101153"/>
    <d v="2025-03-01T00:00:00"/>
    <x v="1"/>
    <x v="1"/>
    <x v="1"/>
    <x v="4"/>
    <x v="1"/>
    <n v="0"/>
    <n v="0"/>
    <n v="0"/>
    <n v="0"/>
    <n v="0"/>
    <n v="0"/>
    <n v="0"/>
    <n v="0"/>
    <m/>
    <n v="37.4"/>
  </r>
  <r>
    <s v="USR-101154"/>
    <d v="2025-04-15T00:00:00"/>
    <x v="1"/>
    <x v="1"/>
    <x v="1"/>
    <x v="1"/>
    <x v="0"/>
    <n v="0"/>
    <n v="0"/>
    <n v="0"/>
    <n v="0"/>
    <n v="0"/>
    <n v="0"/>
    <n v="0"/>
    <n v="0"/>
    <m/>
    <n v="59"/>
  </r>
  <r>
    <s v="USR-101155"/>
    <d v="2025-02-02T00:00:00"/>
    <x v="1"/>
    <x v="2"/>
    <x v="1"/>
    <x v="1"/>
    <x v="2"/>
    <n v="1"/>
    <n v="0"/>
    <n v="0"/>
    <n v="0"/>
    <n v="0"/>
    <n v="0"/>
    <n v="0"/>
    <n v="0"/>
    <m/>
    <n v="60.8"/>
  </r>
  <r>
    <s v="USR-101156"/>
    <d v="2025-05-19T00:00:00"/>
    <x v="1"/>
    <x v="3"/>
    <x v="1"/>
    <x v="0"/>
    <x v="1"/>
    <n v="1"/>
    <n v="0"/>
    <n v="0"/>
    <n v="0"/>
    <n v="0"/>
    <n v="0"/>
    <n v="0"/>
    <n v="0"/>
    <m/>
    <n v="57.5"/>
  </r>
  <r>
    <s v="USR-101157"/>
    <d v="2025-01-05T00:00:00"/>
    <x v="1"/>
    <x v="1"/>
    <x v="1"/>
    <x v="3"/>
    <x v="1"/>
    <n v="0"/>
    <n v="0"/>
    <n v="0"/>
    <n v="0"/>
    <n v="0"/>
    <n v="0"/>
    <n v="0"/>
    <n v="0"/>
    <m/>
    <n v="84.2"/>
  </r>
  <r>
    <s v="USR-101158"/>
    <d v="2025-03-08T00:00:00"/>
    <x v="1"/>
    <x v="3"/>
    <x v="1"/>
    <x v="2"/>
    <x v="1"/>
    <n v="1"/>
    <n v="1"/>
    <n v="0"/>
    <n v="0"/>
    <n v="0"/>
    <n v="0"/>
    <n v="0"/>
    <n v="0"/>
    <m/>
    <n v="27.4"/>
  </r>
  <r>
    <s v="USR-101159"/>
    <d v="2025-03-12T00:00:00"/>
    <x v="1"/>
    <x v="1"/>
    <x v="1"/>
    <x v="0"/>
    <x v="0"/>
    <n v="1"/>
    <n v="0"/>
    <n v="0"/>
    <n v="0"/>
    <n v="0"/>
    <n v="1"/>
    <n v="1"/>
    <n v="0"/>
    <m/>
    <n v="67.599999999999994"/>
  </r>
  <r>
    <s v="USR-101160"/>
    <d v="2025-01-24T00:00:00"/>
    <x v="1"/>
    <x v="1"/>
    <x v="1"/>
    <x v="1"/>
    <x v="1"/>
    <n v="0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x v="0"/>
    <n v="1"/>
    <n v="1"/>
    <n v="1"/>
    <n v="0"/>
    <n v="0"/>
    <n v="0"/>
    <n v="0"/>
    <n v="0"/>
    <m/>
    <n v="66.5"/>
  </r>
  <r>
    <s v="USR-101162"/>
    <d v="2025-03-27T00:00:00"/>
    <x v="1"/>
    <x v="3"/>
    <x v="1"/>
    <x v="2"/>
    <x v="1"/>
    <n v="1"/>
    <n v="0"/>
    <n v="0"/>
    <n v="0"/>
    <n v="0"/>
    <n v="0"/>
    <n v="0"/>
    <n v="0"/>
    <m/>
    <n v="38.200000000000003"/>
  </r>
  <r>
    <s v="USR-101163"/>
    <d v="2025-01-02T00:00:00"/>
    <x v="1"/>
    <x v="1"/>
    <x v="1"/>
    <x v="4"/>
    <x v="1"/>
    <n v="0"/>
    <n v="0"/>
    <n v="0"/>
    <n v="0"/>
    <n v="0"/>
    <n v="1"/>
    <n v="1"/>
    <n v="0"/>
    <m/>
    <n v="66.7"/>
  </r>
  <r>
    <s v="USR-101164"/>
    <d v="2025-02-24T00:00:00"/>
    <x v="1"/>
    <x v="0"/>
    <x v="1"/>
    <x v="2"/>
    <x v="1"/>
    <n v="0"/>
    <n v="0"/>
    <n v="0"/>
    <n v="0"/>
    <n v="0"/>
    <n v="1"/>
    <n v="1"/>
    <n v="0"/>
    <m/>
    <n v="73.7"/>
  </r>
  <r>
    <s v="USR-101165"/>
    <d v="2025-03-01T00:00:00"/>
    <x v="1"/>
    <x v="1"/>
    <x v="0"/>
    <x v="1"/>
    <x v="0"/>
    <n v="1"/>
    <n v="1"/>
    <n v="1"/>
    <n v="0"/>
    <n v="0"/>
    <n v="0"/>
    <n v="0"/>
    <n v="0"/>
    <m/>
    <n v="63.9"/>
  </r>
  <r>
    <s v="USR-101166"/>
    <d v="2025-03-26T00:00:00"/>
    <x v="1"/>
    <x v="3"/>
    <x v="2"/>
    <x v="1"/>
    <x v="0"/>
    <n v="1"/>
    <n v="0"/>
    <n v="0"/>
    <n v="0"/>
    <n v="0"/>
    <n v="1"/>
    <n v="1"/>
    <n v="0"/>
    <m/>
    <n v="82.6"/>
  </r>
  <r>
    <s v="USR-101167"/>
    <d v="2025-05-25T00:00:00"/>
    <x v="1"/>
    <x v="2"/>
    <x v="1"/>
    <x v="2"/>
    <x v="1"/>
    <n v="0"/>
    <n v="0"/>
    <n v="0"/>
    <n v="0"/>
    <n v="0"/>
    <n v="1"/>
    <n v="1"/>
    <n v="0"/>
    <m/>
    <n v="58.3"/>
  </r>
  <r>
    <s v="USR-101168"/>
    <d v="2025-02-25T00:00:00"/>
    <x v="1"/>
    <x v="1"/>
    <x v="1"/>
    <x v="3"/>
    <x v="2"/>
    <n v="1"/>
    <n v="1"/>
    <n v="1"/>
    <n v="1"/>
    <n v="1547.06"/>
    <n v="0"/>
    <n v="0"/>
    <n v="1"/>
    <n v="2"/>
    <n v="72.900000000000006"/>
  </r>
  <r>
    <s v="USR-101169"/>
    <d v="2025-03-23T00:00:00"/>
    <x v="1"/>
    <x v="3"/>
    <x v="1"/>
    <x v="4"/>
    <x v="1"/>
    <n v="1"/>
    <n v="1"/>
    <n v="1"/>
    <n v="0"/>
    <n v="0"/>
    <n v="2"/>
    <n v="1"/>
    <n v="0"/>
    <m/>
    <n v="53.5"/>
  </r>
  <r>
    <s v="USR-101170"/>
    <d v="2025-04-21T00:00:00"/>
    <x v="1"/>
    <x v="1"/>
    <x v="1"/>
    <x v="3"/>
    <x v="1"/>
    <n v="1"/>
    <n v="0"/>
    <n v="0"/>
    <n v="0"/>
    <n v="0"/>
    <n v="0"/>
    <n v="0"/>
    <n v="0"/>
    <m/>
    <n v="54.8"/>
  </r>
  <r>
    <s v="USR-101171"/>
    <d v="2025-05-21T00:00:00"/>
    <x v="1"/>
    <x v="0"/>
    <x v="1"/>
    <x v="1"/>
    <x v="2"/>
    <n v="1"/>
    <n v="0"/>
    <n v="0"/>
    <n v="0"/>
    <n v="0"/>
    <n v="0"/>
    <n v="0"/>
    <n v="0"/>
    <m/>
    <n v="69.5"/>
  </r>
  <r>
    <s v="USR-101172"/>
    <d v="2025-04-25T00:00:00"/>
    <x v="1"/>
    <x v="0"/>
    <x v="0"/>
    <x v="4"/>
    <x v="1"/>
    <n v="1"/>
    <n v="0"/>
    <n v="0"/>
    <n v="0"/>
    <n v="0"/>
    <n v="1"/>
    <n v="1"/>
    <n v="0"/>
    <m/>
    <n v="71.3"/>
  </r>
  <r>
    <s v="USR-101173"/>
    <d v="2025-05-23T00:00:00"/>
    <x v="1"/>
    <x v="1"/>
    <x v="1"/>
    <x v="3"/>
    <x v="0"/>
    <n v="1"/>
    <n v="0"/>
    <n v="0"/>
    <n v="0"/>
    <n v="0"/>
    <n v="1"/>
    <n v="1"/>
    <n v="0"/>
    <m/>
    <n v="57.5"/>
  </r>
  <r>
    <s v="USR-101174"/>
    <d v="2025-03-18T00:00:00"/>
    <x v="1"/>
    <x v="3"/>
    <x v="1"/>
    <x v="0"/>
    <x v="1"/>
    <n v="1"/>
    <n v="0"/>
    <n v="0"/>
    <n v="0"/>
    <n v="0"/>
    <n v="4"/>
    <n v="1"/>
    <n v="0"/>
    <m/>
    <n v="50.9"/>
  </r>
  <r>
    <s v="USR-101175"/>
    <d v="2025-01-03T00:00:00"/>
    <x v="1"/>
    <x v="3"/>
    <x v="2"/>
    <x v="1"/>
    <x v="1"/>
    <n v="1"/>
    <n v="1"/>
    <n v="1"/>
    <n v="0"/>
    <n v="0"/>
    <n v="0"/>
    <n v="0"/>
    <n v="0"/>
    <m/>
    <n v="69.3"/>
  </r>
  <r>
    <s v="USR-101176"/>
    <d v="2025-02-08T00:00:00"/>
    <x v="1"/>
    <x v="1"/>
    <x v="0"/>
    <x v="1"/>
    <x v="1"/>
    <n v="1"/>
    <n v="0"/>
    <n v="0"/>
    <n v="0"/>
    <n v="0"/>
    <n v="0"/>
    <n v="0"/>
    <n v="0"/>
    <m/>
    <n v="50.1"/>
  </r>
  <r>
    <s v="USR-101177"/>
    <d v="2025-02-04T00:00:00"/>
    <x v="1"/>
    <x v="2"/>
    <x v="3"/>
    <x v="2"/>
    <x v="0"/>
    <n v="0"/>
    <n v="0"/>
    <n v="0"/>
    <n v="0"/>
    <n v="0"/>
    <n v="0"/>
    <n v="0"/>
    <n v="0"/>
    <m/>
    <n v="69.7"/>
  </r>
  <r>
    <s v="USR-101178"/>
    <d v="2025-01-16T00:00:00"/>
    <x v="1"/>
    <x v="0"/>
    <x v="1"/>
    <x v="2"/>
    <x v="1"/>
    <n v="0"/>
    <n v="0"/>
    <n v="0"/>
    <n v="0"/>
    <n v="0"/>
    <n v="0"/>
    <n v="0"/>
    <n v="0"/>
    <m/>
    <n v="63.5"/>
  </r>
  <r>
    <s v="USR-101179"/>
    <d v="2025-04-04T00:00:00"/>
    <x v="1"/>
    <x v="1"/>
    <x v="0"/>
    <x v="2"/>
    <x v="1"/>
    <n v="1"/>
    <n v="1"/>
    <n v="1"/>
    <n v="1"/>
    <n v="265.58999999999997"/>
    <n v="1"/>
    <n v="1"/>
    <n v="0"/>
    <n v="8"/>
    <n v="80.400000000000006"/>
  </r>
  <r>
    <s v="USR-101180"/>
    <d v="2025-01-23T00:00:00"/>
    <x v="1"/>
    <x v="0"/>
    <x v="0"/>
    <x v="2"/>
    <x v="1"/>
    <n v="0"/>
    <n v="0"/>
    <n v="0"/>
    <n v="0"/>
    <n v="0"/>
    <n v="0"/>
    <n v="0"/>
    <n v="0"/>
    <m/>
    <n v="58.9"/>
  </r>
  <r>
    <s v="USR-101181"/>
    <d v="2025-03-22T00:00:00"/>
    <x v="1"/>
    <x v="3"/>
    <x v="0"/>
    <x v="2"/>
    <x v="1"/>
    <n v="1"/>
    <n v="0"/>
    <n v="0"/>
    <n v="0"/>
    <n v="0"/>
    <n v="0"/>
    <n v="0"/>
    <n v="0"/>
    <m/>
    <n v="56.8"/>
  </r>
  <r>
    <s v="USR-101182"/>
    <d v="2025-02-02T00:00:00"/>
    <x v="1"/>
    <x v="2"/>
    <x v="2"/>
    <x v="4"/>
    <x v="2"/>
    <n v="0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x v="1"/>
    <n v="0"/>
    <n v="0"/>
    <n v="0"/>
    <n v="0"/>
    <n v="0"/>
    <n v="0"/>
    <n v="0"/>
    <n v="0"/>
    <m/>
    <n v="76.3"/>
  </r>
  <r>
    <s v="USR-101184"/>
    <d v="2025-05-27T00:00:00"/>
    <x v="1"/>
    <x v="1"/>
    <x v="1"/>
    <x v="1"/>
    <x v="0"/>
    <n v="1"/>
    <n v="0"/>
    <n v="0"/>
    <n v="0"/>
    <n v="0"/>
    <n v="0"/>
    <n v="0"/>
    <n v="0"/>
    <m/>
    <n v="56.9"/>
  </r>
  <r>
    <s v="USR-101185"/>
    <d v="2025-05-07T00:00:00"/>
    <x v="1"/>
    <x v="0"/>
    <x v="1"/>
    <x v="1"/>
    <x v="2"/>
    <n v="1"/>
    <n v="0"/>
    <n v="0"/>
    <n v="0"/>
    <n v="0"/>
    <n v="2"/>
    <n v="1"/>
    <n v="0"/>
    <m/>
    <n v="49.4"/>
  </r>
  <r>
    <s v="USR-101186"/>
    <d v="2025-05-08T00:00:00"/>
    <x v="1"/>
    <x v="0"/>
    <x v="0"/>
    <x v="2"/>
    <x v="0"/>
    <n v="1"/>
    <n v="0"/>
    <n v="0"/>
    <n v="0"/>
    <n v="0"/>
    <n v="0"/>
    <n v="0"/>
    <n v="0"/>
    <m/>
    <n v="86.7"/>
  </r>
  <r>
    <s v="USR-101187"/>
    <d v="2025-01-15T00:00:00"/>
    <x v="1"/>
    <x v="1"/>
    <x v="0"/>
    <x v="0"/>
    <x v="1"/>
    <n v="1"/>
    <n v="0"/>
    <n v="0"/>
    <n v="0"/>
    <n v="0"/>
    <n v="3"/>
    <n v="1"/>
    <n v="0"/>
    <m/>
    <n v="69"/>
  </r>
  <r>
    <s v="USR-101188"/>
    <d v="2025-01-18T00:00:00"/>
    <x v="1"/>
    <x v="0"/>
    <x v="1"/>
    <x v="2"/>
    <x v="1"/>
    <n v="0"/>
    <n v="0"/>
    <n v="0"/>
    <n v="0"/>
    <n v="0"/>
    <n v="0"/>
    <n v="0"/>
    <n v="0"/>
    <m/>
    <n v="84.5"/>
  </r>
  <r>
    <s v="USR-101189"/>
    <d v="2025-04-16T00:00:00"/>
    <x v="1"/>
    <x v="2"/>
    <x v="3"/>
    <x v="3"/>
    <x v="1"/>
    <n v="1"/>
    <n v="0"/>
    <n v="0"/>
    <n v="0"/>
    <n v="0"/>
    <n v="0"/>
    <n v="0"/>
    <n v="0"/>
    <m/>
    <n v="66.3"/>
  </r>
  <r>
    <s v="USR-101190"/>
    <d v="2025-02-16T00:00:00"/>
    <x v="1"/>
    <x v="2"/>
    <x v="0"/>
    <x v="2"/>
    <x v="1"/>
    <n v="0"/>
    <n v="0"/>
    <n v="0"/>
    <n v="0"/>
    <n v="0"/>
    <n v="0"/>
    <n v="0"/>
    <n v="0"/>
    <m/>
    <n v="52.2"/>
  </r>
  <r>
    <s v="USR-101191"/>
    <d v="2025-04-17T00:00:00"/>
    <x v="1"/>
    <x v="3"/>
    <x v="0"/>
    <x v="3"/>
    <x v="2"/>
    <n v="1"/>
    <n v="1"/>
    <n v="1"/>
    <n v="0"/>
    <n v="0"/>
    <n v="0"/>
    <n v="0"/>
    <n v="0"/>
    <m/>
    <n v="81.2"/>
  </r>
  <r>
    <s v="USR-101192"/>
    <d v="2025-04-30T00:00:00"/>
    <x v="1"/>
    <x v="3"/>
    <x v="1"/>
    <x v="1"/>
    <x v="0"/>
    <n v="0"/>
    <n v="0"/>
    <n v="0"/>
    <n v="0"/>
    <n v="0"/>
    <n v="0"/>
    <n v="0"/>
    <n v="0"/>
    <m/>
    <n v="53.9"/>
  </r>
  <r>
    <s v="USR-101193"/>
    <d v="2025-01-29T00:00:00"/>
    <x v="1"/>
    <x v="1"/>
    <x v="1"/>
    <x v="4"/>
    <x v="2"/>
    <n v="0"/>
    <n v="0"/>
    <n v="0"/>
    <n v="0"/>
    <n v="0"/>
    <n v="0"/>
    <n v="0"/>
    <n v="0"/>
    <m/>
    <n v="39.1"/>
  </r>
  <r>
    <s v="USR-101194"/>
    <d v="2025-01-11T00:00:00"/>
    <x v="1"/>
    <x v="0"/>
    <x v="1"/>
    <x v="4"/>
    <x v="0"/>
    <n v="0"/>
    <n v="0"/>
    <n v="0"/>
    <n v="0"/>
    <n v="0"/>
    <n v="0"/>
    <n v="0"/>
    <n v="0"/>
    <m/>
    <n v="57.3"/>
  </r>
  <r>
    <s v="USR-101195"/>
    <d v="2025-04-08T00:00:00"/>
    <x v="1"/>
    <x v="2"/>
    <x v="0"/>
    <x v="2"/>
    <x v="2"/>
    <n v="1"/>
    <n v="0"/>
    <n v="0"/>
    <n v="0"/>
    <n v="0"/>
    <n v="1"/>
    <n v="1"/>
    <n v="0"/>
    <m/>
    <n v="65.900000000000006"/>
  </r>
  <r>
    <s v="USR-101196"/>
    <d v="2025-02-22T00:00:00"/>
    <x v="1"/>
    <x v="0"/>
    <x v="3"/>
    <x v="4"/>
    <x v="1"/>
    <n v="1"/>
    <n v="0"/>
    <n v="0"/>
    <n v="0"/>
    <n v="0"/>
    <n v="1"/>
    <n v="1"/>
    <n v="0"/>
    <m/>
    <n v="34.200000000000003"/>
  </r>
  <r>
    <s v="USR-101197"/>
    <d v="2025-03-23T00:00:00"/>
    <x v="1"/>
    <x v="3"/>
    <x v="1"/>
    <x v="1"/>
    <x v="1"/>
    <n v="0"/>
    <n v="0"/>
    <n v="0"/>
    <n v="0"/>
    <n v="0"/>
    <n v="0"/>
    <n v="0"/>
    <n v="0"/>
    <m/>
    <n v="47.2"/>
  </r>
  <r>
    <s v="USR-101198"/>
    <d v="2025-05-23T00:00:00"/>
    <x v="1"/>
    <x v="3"/>
    <x v="2"/>
    <x v="2"/>
    <x v="1"/>
    <n v="1"/>
    <n v="0"/>
    <n v="0"/>
    <n v="0"/>
    <n v="0"/>
    <n v="1"/>
    <n v="1"/>
    <n v="0"/>
    <m/>
    <n v="55"/>
  </r>
  <r>
    <s v="USR-101199"/>
    <d v="2025-04-27T00:00:00"/>
    <x v="1"/>
    <x v="1"/>
    <x v="1"/>
    <x v="3"/>
    <x v="0"/>
    <n v="1"/>
    <n v="1"/>
    <n v="1"/>
    <n v="0"/>
    <n v="0"/>
    <n v="0"/>
    <n v="0"/>
    <n v="0"/>
    <m/>
    <n v="76.400000000000006"/>
  </r>
  <r>
    <s v="USR-101200"/>
    <d v="2025-05-26T00:00:00"/>
    <x v="1"/>
    <x v="0"/>
    <x v="1"/>
    <x v="3"/>
    <x v="1"/>
    <n v="1"/>
    <n v="0"/>
    <n v="0"/>
    <n v="0"/>
    <n v="0"/>
    <n v="0"/>
    <n v="0"/>
    <n v="0"/>
    <m/>
    <n v="70.8"/>
  </r>
  <r>
    <s v="USR-101201"/>
    <d v="2025-03-06T00:00:00"/>
    <x v="1"/>
    <x v="2"/>
    <x v="1"/>
    <x v="2"/>
    <x v="0"/>
    <n v="1"/>
    <n v="1"/>
    <n v="0"/>
    <n v="0"/>
    <n v="0"/>
    <n v="1"/>
    <n v="1"/>
    <n v="0"/>
    <m/>
    <n v="58"/>
  </r>
  <r>
    <s v="USR-101202"/>
    <d v="2025-04-03T00:00:00"/>
    <x v="1"/>
    <x v="1"/>
    <x v="1"/>
    <x v="1"/>
    <x v="0"/>
    <n v="1"/>
    <n v="1"/>
    <n v="1"/>
    <n v="0"/>
    <n v="0"/>
    <n v="1"/>
    <n v="1"/>
    <n v="0"/>
    <m/>
    <n v="70.8"/>
  </r>
  <r>
    <s v="USR-101203"/>
    <d v="2025-02-01T00:00:00"/>
    <x v="1"/>
    <x v="2"/>
    <x v="0"/>
    <x v="2"/>
    <x v="1"/>
    <n v="1"/>
    <n v="0"/>
    <n v="0"/>
    <n v="0"/>
    <n v="0"/>
    <n v="3"/>
    <n v="1"/>
    <n v="0"/>
    <m/>
    <n v="60"/>
  </r>
  <r>
    <s v="USR-101204"/>
    <d v="2025-05-01T00:00:00"/>
    <x v="1"/>
    <x v="1"/>
    <x v="1"/>
    <x v="3"/>
    <x v="2"/>
    <n v="1"/>
    <n v="1"/>
    <n v="1"/>
    <n v="0"/>
    <n v="0"/>
    <n v="3"/>
    <n v="1"/>
    <n v="0"/>
    <m/>
    <n v="58.1"/>
  </r>
  <r>
    <s v="USR-101205"/>
    <d v="2025-04-13T00:00:00"/>
    <x v="1"/>
    <x v="0"/>
    <x v="1"/>
    <x v="4"/>
    <x v="2"/>
    <n v="0"/>
    <n v="0"/>
    <n v="0"/>
    <n v="0"/>
    <n v="0"/>
    <n v="0"/>
    <n v="0"/>
    <n v="0"/>
    <m/>
    <n v="59.7"/>
  </r>
  <r>
    <s v="USR-101206"/>
    <d v="2025-01-25T00:00:00"/>
    <x v="1"/>
    <x v="2"/>
    <x v="1"/>
    <x v="4"/>
    <x v="1"/>
    <n v="0"/>
    <n v="0"/>
    <n v="0"/>
    <n v="0"/>
    <n v="0"/>
    <n v="0"/>
    <n v="0"/>
    <n v="0"/>
    <m/>
    <n v="47.7"/>
  </r>
  <r>
    <s v="USR-101207"/>
    <d v="2025-03-17T00:00:00"/>
    <x v="1"/>
    <x v="0"/>
    <x v="1"/>
    <x v="1"/>
    <x v="1"/>
    <n v="0"/>
    <n v="0"/>
    <n v="0"/>
    <n v="0"/>
    <n v="0"/>
    <n v="0"/>
    <n v="0"/>
    <n v="0"/>
    <m/>
    <n v="59.1"/>
  </r>
  <r>
    <s v="USR-101208"/>
    <d v="2025-02-21T00:00:00"/>
    <x v="1"/>
    <x v="1"/>
    <x v="0"/>
    <x v="4"/>
    <x v="0"/>
    <n v="1"/>
    <n v="0"/>
    <n v="0"/>
    <n v="0"/>
    <n v="0"/>
    <n v="1"/>
    <n v="1"/>
    <n v="0"/>
    <m/>
    <n v="68.7"/>
  </r>
  <r>
    <s v="USR-101209"/>
    <d v="2025-04-08T00:00:00"/>
    <x v="1"/>
    <x v="2"/>
    <x v="2"/>
    <x v="1"/>
    <x v="0"/>
    <n v="0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x v="0"/>
    <n v="1"/>
    <n v="0"/>
    <n v="0"/>
    <n v="0"/>
    <n v="0"/>
    <n v="0"/>
    <n v="0"/>
    <n v="0"/>
    <m/>
    <n v="62"/>
  </r>
  <r>
    <s v="USR-101211"/>
    <d v="2025-05-29T00:00:00"/>
    <x v="1"/>
    <x v="3"/>
    <x v="1"/>
    <x v="1"/>
    <x v="1"/>
    <n v="1"/>
    <n v="1"/>
    <n v="0"/>
    <n v="0"/>
    <n v="0"/>
    <n v="0"/>
    <n v="0"/>
    <n v="0"/>
    <m/>
    <n v="56"/>
  </r>
  <r>
    <s v="USR-101212"/>
    <d v="2025-05-30T00:00:00"/>
    <x v="1"/>
    <x v="0"/>
    <x v="1"/>
    <x v="0"/>
    <x v="0"/>
    <n v="1"/>
    <n v="0"/>
    <n v="0"/>
    <n v="0"/>
    <n v="0"/>
    <n v="1"/>
    <n v="1"/>
    <n v="0"/>
    <m/>
    <n v="65.8"/>
  </r>
  <r>
    <s v="USR-101213"/>
    <d v="2025-01-24T00:00:00"/>
    <x v="1"/>
    <x v="0"/>
    <x v="0"/>
    <x v="1"/>
    <x v="2"/>
    <n v="0"/>
    <n v="0"/>
    <n v="0"/>
    <n v="0"/>
    <n v="0"/>
    <n v="0"/>
    <n v="0"/>
    <n v="0"/>
    <m/>
    <n v="54.7"/>
  </r>
  <r>
    <s v="USR-101214"/>
    <d v="2025-05-12T00:00:00"/>
    <x v="1"/>
    <x v="3"/>
    <x v="1"/>
    <x v="1"/>
    <x v="0"/>
    <n v="1"/>
    <n v="1"/>
    <n v="0"/>
    <n v="0"/>
    <n v="0"/>
    <n v="0"/>
    <n v="0"/>
    <n v="0"/>
    <m/>
    <n v="64.099999999999994"/>
  </r>
  <r>
    <s v="USR-101215"/>
    <d v="2025-03-28T00:00:00"/>
    <x v="1"/>
    <x v="3"/>
    <x v="1"/>
    <x v="1"/>
    <x v="0"/>
    <n v="1"/>
    <n v="1"/>
    <n v="1"/>
    <n v="0"/>
    <n v="0"/>
    <n v="0"/>
    <n v="0"/>
    <n v="0"/>
    <m/>
    <n v="71.599999999999994"/>
  </r>
  <r>
    <s v="USR-101216"/>
    <d v="2025-04-14T00:00:00"/>
    <x v="1"/>
    <x v="0"/>
    <x v="1"/>
    <x v="3"/>
    <x v="0"/>
    <n v="1"/>
    <n v="0"/>
    <n v="0"/>
    <n v="0"/>
    <n v="0"/>
    <n v="0"/>
    <n v="0"/>
    <n v="0"/>
    <m/>
    <n v="78.400000000000006"/>
  </r>
  <r>
    <s v="USR-101217"/>
    <d v="2025-01-28T00:00:00"/>
    <x v="1"/>
    <x v="2"/>
    <x v="2"/>
    <x v="3"/>
    <x v="0"/>
    <n v="0"/>
    <n v="0"/>
    <n v="0"/>
    <n v="0"/>
    <n v="0"/>
    <n v="0"/>
    <n v="0"/>
    <n v="0"/>
    <m/>
    <n v="49.3"/>
  </r>
  <r>
    <s v="USR-101218"/>
    <d v="2025-05-21T00:00:00"/>
    <x v="1"/>
    <x v="0"/>
    <x v="1"/>
    <x v="1"/>
    <x v="0"/>
    <n v="0"/>
    <n v="0"/>
    <n v="0"/>
    <n v="0"/>
    <n v="0"/>
    <n v="0"/>
    <n v="0"/>
    <n v="0"/>
    <m/>
    <n v="52.8"/>
  </r>
  <r>
    <s v="USR-101219"/>
    <d v="2025-05-11T00:00:00"/>
    <x v="1"/>
    <x v="1"/>
    <x v="0"/>
    <x v="1"/>
    <x v="1"/>
    <n v="0"/>
    <n v="0"/>
    <n v="0"/>
    <n v="0"/>
    <n v="0"/>
    <n v="0"/>
    <n v="0"/>
    <n v="0"/>
    <m/>
    <n v="58.5"/>
  </r>
  <r>
    <s v="USR-101220"/>
    <d v="2025-02-02T00:00:00"/>
    <x v="1"/>
    <x v="3"/>
    <x v="1"/>
    <x v="2"/>
    <x v="1"/>
    <n v="1"/>
    <n v="0"/>
    <n v="0"/>
    <n v="0"/>
    <n v="0"/>
    <n v="0"/>
    <n v="0"/>
    <n v="0"/>
    <m/>
    <n v="55.9"/>
  </r>
  <r>
    <s v="USR-101221"/>
    <d v="2025-02-26T00:00:00"/>
    <x v="1"/>
    <x v="0"/>
    <x v="1"/>
    <x v="4"/>
    <x v="1"/>
    <n v="1"/>
    <n v="1"/>
    <n v="1"/>
    <n v="1"/>
    <n v="351.43"/>
    <n v="1"/>
    <n v="1"/>
    <n v="0"/>
    <n v="6"/>
    <n v="74.900000000000006"/>
  </r>
  <r>
    <s v="USR-101222"/>
    <d v="2025-02-27T00:00:00"/>
    <x v="1"/>
    <x v="3"/>
    <x v="0"/>
    <x v="3"/>
    <x v="1"/>
    <n v="1"/>
    <n v="1"/>
    <n v="1"/>
    <n v="1"/>
    <n v="352.42"/>
    <n v="0"/>
    <n v="0"/>
    <n v="0"/>
    <n v="4"/>
    <n v="58.5"/>
  </r>
  <r>
    <s v="USR-101223"/>
    <d v="2025-03-09T00:00:00"/>
    <x v="1"/>
    <x v="1"/>
    <x v="1"/>
    <x v="1"/>
    <x v="1"/>
    <n v="0"/>
    <n v="0"/>
    <n v="0"/>
    <n v="0"/>
    <n v="0"/>
    <n v="0"/>
    <n v="0"/>
    <n v="0"/>
    <m/>
    <n v="63.5"/>
  </r>
  <r>
    <s v="USR-101224"/>
    <d v="2025-02-07T00:00:00"/>
    <x v="1"/>
    <x v="0"/>
    <x v="1"/>
    <x v="2"/>
    <x v="0"/>
    <n v="1"/>
    <n v="0"/>
    <n v="0"/>
    <n v="0"/>
    <n v="0"/>
    <n v="1"/>
    <n v="1"/>
    <n v="0"/>
    <m/>
    <n v="64.8"/>
  </r>
  <r>
    <s v="USR-101225"/>
    <d v="2025-01-31T00:00:00"/>
    <x v="1"/>
    <x v="1"/>
    <x v="1"/>
    <x v="4"/>
    <x v="1"/>
    <n v="0"/>
    <n v="0"/>
    <n v="0"/>
    <n v="0"/>
    <n v="0"/>
    <n v="0"/>
    <n v="0"/>
    <n v="0"/>
    <m/>
    <n v="63.3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0"/>
    <n v="8"/>
    <n v="83.7"/>
  </r>
  <r>
    <s v="USR-101227"/>
    <d v="2025-02-12T00:00:00"/>
    <x v="1"/>
    <x v="3"/>
    <x v="0"/>
    <x v="4"/>
    <x v="0"/>
    <n v="0"/>
    <n v="0"/>
    <n v="0"/>
    <n v="0"/>
    <n v="0"/>
    <n v="0"/>
    <n v="0"/>
    <n v="0"/>
    <m/>
    <n v="88.7"/>
  </r>
  <r>
    <s v="USR-101228"/>
    <d v="2025-03-23T00:00:00"/>
    <x v="1"/>
    <x v="2"/>
    <x v="3"/>
    <x v="2"/>
    <x v="1"/>
    <n v="1"/>
    <n v="0"/>
    <n v="0"/>
    <n v="0"/>
    <n v="0"/>
    <n v="1"/>
    <n v="1"/>
    <n v="0"/>
    <m/>
    <n v="61.5"/>
  </r>
  <r>
    <s v="USR-101229"/>
    <d v="2025-03-18T00:00:00"/>
    <x v="1"/>
    <x v="1"/>
    <x v="1"/>
    <x v="2"/>
    <x v="1"/>
    <n v="0"/>
    <n v="0"/>
    <n v="0"/>
    <n v="0"/>
    <n v="0"/>
    <n v="0"/>
    <n v="0"/>
    <n v="0"/>
    <m/>
    <n v="45.3"/>
  </r>
  <r>
    <s v="USR-101230"/>
    <d v="2025-05-17T00:00:00"/>
    <x v="1"/>
    <x v="0"/>
    <x v="1"/>
    <x v="4"/>
    <x v="1"/>
    <n v="1"/>
    <n v="0"/>
    <n v="0"/>
    <n v="0"/>
    <n v="0"/>
    <n v="0"/>
    <n v="0"/>
    <n v="0"/>
    <m/>
    <n v="37.299999999999997"/>
  </r>
  <r>
    <s v="USR-101231"/>
    <d v="2025-03-26T00:00:00"/>
    <x v="1"/>
    <x v="1"/>
    <x v="0"/>
    <x v="4"/>
    <x v="2"/>
    <n v="1"/>
    <n v="0"/>
    <n v="0"/>
    <n v="0"/>
    <n v="0"/>
    <n v="1"/>
    <n v="1"/>
    <n v="0"/>
    <m/>
    <n v="76.099999999999994"/>
  </r>
  <r>
    <s v="USR-101232"/>
    <d v="2025-03-30T00:00:00"/>
    <x v="1"/>
    <x v="2"/>
    <x v="1"/>
    <x v="1"/>
    <x v="1"/>
    <n v="1"/>
    <n v="1"/>
    <n v="1"/>
    <n v="0"/>
    <n v="0"/>
    <n v="1"/>
    <n v="1"/>
    <n v="0"/>
    <m/>
    <n v="72.5"/>
  </r>
  <r>
    <s v="USR-101233"/>
    <d v="2025-02-25T00:00:00"/>
    <x v="1"/>
    <x v="2"/>
    <x v="0"/>
    <x v="1"/>
    <x v="1"/>
    <n v="1"/>
    <n v="0"/>
    <n v="0"/>
    <n v="0"/>
    <n v="0"/>
    <n v="0"/>
    <n v="0"/>
    <n v="0"/>
    <m/>
    <n v="62.3"/>
  </r>
  <r>
    <s v="USR-101234"/>
    <d v="2025-03-01T00:00:00"/>
    <x v="1"/>
    <x v="2"/>
    <x v="0"/>
    <x v="4"/>
    <x v="1"/>
    <n v="0"/>
    <n v="0"/>
    <n v="0"/>
    <n v="0"/>
    <n v="0"/>
    <n v="0"/>
    <n v="0"/>
    <n v="0"/>
    <m/>
    <n v="62.7"/>
  </r>
  <r>
    <s v="USR-101235"/>
    <d v="2025-05-27T00:00:00"/>
    <x v="1"/>
    <x v="0"/>
    <x v="1"/>
    <x v="2"/>
    <x v="0"/>
    <n v="0"/>
    <n v="0"/>
    <n v="0"/>
    <n v="0"/>
    <n v="0"/>
    <n v="0"/>
    <n v="0"/>
    <n v="0"/>
    <m/>
    <n v="82.4"/>
  </r>
  <r>
    <s v="USR-101236"/>
    <d v="2025-02-05T00:00:00"/>
    <x v="1"/>
    <x v="1"/>
    <x v="1"/>
    <x v="5"/>
    <x v="2"/>
    <n v="1"/>
    <n v="0"/>
    <n v="0"/>
    <n v="0"/>
    <n v="0"/>
    <n v="0"/>
    <n v="0"/>
    <n v="0"/>
    <m/>
    <n v="78.900000000000006"/>
  </r>
  <r>
    <s v="USR-101237"/>
    <d v="2025-01-25T00:00:00"/>
    <x v="1"/>
    <x v="1"/>
    <x v="0"/>
    <x v="0"/>
    <x v="1"/>
    <n v="1"/>
    <n v="1"/>
    <n v="1"/>
    <n v="1"/>
    <n v="618.91"/>
    <n v="0"/>
    <n v="0"/>
    <n v="0"/>
    <n v="4"/>
    <n v="67.8"/>
  </r>
  <r>
    <s v="USR-101238"/>
    <d v="2025-04-10T00:00:00"/>
    <x v="1"/>
    <x v="2"/>
    <x v="1"/>
    <x v="1"/>
    <x v="2"/>
    <n v="1"/>
    <n v="0"/>
    <n v="0"/>
    <n v="0"/>
    <n v="0"/>
    <n v="0"/>
    <n v="0"/>
    <n v="0"/>
    <m/>
    <n v="68.8"/>
  </r>
  <r>
    <s v="USR-101239"/>
    <d v="2025-01-10T00:00:00"/>
    <x v="1"/>
    <x v="2"/>
    <x v="1"/>
    <x v="1"/>
    <x v="2"/>
    <n v="1"/>
    <n v="0"/>
    <n v="0"/>
    <n v="0"/>
    <n v="0"/>
    <n v="0"/>
    <n v="0"/>
    <n v="0"/>
    <m/>
    <n v="67.7"/>
  </r>
  <r>
    <s v="USR-101240"/>
    <d v="2025-02-23T00:00:00"/>
    <x v="1"/>
    <x v="2"/>
    <x v="1"/>
    <x v="5"/>
    <x v="1"/>
    <n v="0"/>
    <n v="0"/>
    <n v="0"/>
    <n v="0"/>
    <n v="0"/>
    <n v="0"/>
    <n v="0"/>
    <n v="0"/>
    <m/>
    <n v="88"/>
  </r>
  <r>
    <s v="USR-101241"/>
    <d v="2025-05-23T00:00:00"/>
    <x v="1"/>
    <x v="1"/>
    <x v="0"/>
    <x v="1"/>
    <x v="0"/>
    <n v="1"/>
    <n v="1"/>
    <n v="0"/>
    <n v="0"/>
    <n v="0"/>
    <n v="0"/>
    <n v="0"/>
    <n v="0"/>
    <m/>
    <n v="80.099999999999994"/>
  </r>
  <r>
    <s v="USR-101242"/>
    <d v="2025-03-08T00:00:00"/>
    <x v="1"/>
    <x v="0"/>
    <x v="2"/>
    <x v="0"/>
    <x v="0"/>
    <n v="0"/>
    <n v="0"/>
    <n v="0"/>
    <n v="0"/>
    <n v="0"/>
    <n v="1"/>
    <n v="1"/>
    <n v="0"/>
    <m/>
    <n v="48.2"/>
  </r>
  <r>
    <s v="USR-101243"/>
    <d v="2025-05-21T00:00:00"/>
    <x v="1"/>
    <x v="2"/>
    <x v="1"/>
    <x v="1"/>
    <x v="0"/>
    <n v="1"/>
    <n v="0"/>
    <n v="0"/>
    <n v="0"/>
    <n v="0"/>
    <n v="0"/>
    <n v="0"/>
    <n v="0"/>
    <m/>
    <n v="52.7"/>
  </r>
  <r>
    <s v="USR-101244"/>
    <d v="2025-04-22T00:00:00"/>
    <x v="1"/>
    <x v="0"/>
    <x v="1"/>
    <x v="0"/>
    <x v="0"/>
    <n v="1"/>
    <n v="1"/>
    <n v="0"/>
    <n v="0"/>
    <n v="0"/>
    <n v="0"/>
    <n v="0"/>
    <n v="0"/>
    <m/>
    <n v="59.9"/>
  </r>
  <r>
    <s v="USR-101245"/>
    <d v="2025-04-16T00:00:00"/>
    <x v="1"/>
    <x v="0"/>
    <x v="1"/>
    <x v="0"/>
    <x v="2"/>
    <n v="1"/>
    <n v="0"/>
    <n v="0"/>
    <n v="0"/>
    <n v="0"/>
    <n v="0"/>
    <n v="0"/>
    <n v="0"/>
    <m/>
    <n v="49.5"/>
  </r>
  <r>
    <s v="USR-101246"/>
    <d v="2025-05-08T00:00:00"/>
    <x v="1"/>
    <x v="0"/>
    <x v="2"/>
    <x v="1"/>
    <x v="1"/>
    <n v="1"/>
    <n v="0"/>
    <n v="0"/>
    <n v="0"/>
    <n v="0"/>
    <n v="0"/>
    <n v="0"/>
    <n v="0"/>
    <m/>
    <n v="41.5"/>
  </r>
  <r>
    <s v="USR-101247"/>
    <d v="2025-05-22T00:00:00"/>
    <x v="1"/>
    <x v="0"/>
    <x v="1"/>
    <x v="2"/>
    <x v="0"/>
    <n v="1"/>
    <n v="0"/>
    <n v="0"/>
    <n v="0"/>
    <n v="0"/>
    <n v="0"/>
    <n v="0"/>
    <n v="0"/>
    <m/>
    <n v="71.2"/>
  </r>
  <r>
    <s v="USR-101248"/>
    <d v="2025-03-21T00:00:00"/>
    <x v="1"/>
    <x v="0"/>
    <x v="1"/>
    <x v="3"/>
    <x v="0"/>
    <n v="1"/>
    <n v="1"/>
    <n v="1"/>
    <n v="0"/>
    <n v="0"/>
    <n v="0"/>
    <n v="0"/>
    <n v="0"/>
    <m/>
    <n v="65.8"/>
  </r>
  <r>
    <s v="USR-101249"/>
    <d v="2025-03-22T00:00:00"/>
    <x v="1"/>
    <x v="2"/>
    <x v="1"/>
    <x v="1"/>
    <x v="0"/>
    <n v="1"/>
    <n v="0"/>
    <n v="0"/>
    <n v="0"/>
    <n v="0"/>
    <n v="1"/>
    <n v="1"/>
    <n v="0"/>
    <m/>
    <n v="55.1"/>
  </r>
  <r>
    <s v="USR-101250"/>
    <d v="2025-01-10T00:00:00"/>
    <x v="1"/>
    <x v="1"/>
    <x v="0"/>
    <x v="4"/>
    <x v="1"/>
    <n v="1"/>
    <n v="0"/>
    <n v="0"/>
    <n v="0"/>
    <n v="0"/>
    <n v="0"/>
    <n v="0"/>
    <n v="0"/>
    <m/>
    <n v="54.6"/>
  </r>
  <r>
    <s v="USR-101251"/>
    <d v="2025-02-01T00:00:00"/>
    <x v="1"/>
    <x v="2"/>
    <x v="1"/>
    <x v="1"/>
    <x v="0"/>
    <n v="1"/>
    <n v="1"/>
    <n v="1"/>
    <n v="1"/>
    <n v="923.67"/>
    <n v="0"/>
    <n v="0"/>
    <n v="0"/>
    <n v="4"/>
    <n v="81.900000000000006"/>
  </r>
  <r>
    <s v="USR-101252"/>
    <d v="2025-03-31T00:00:00"/>
    <x v="1"/>
    <x v="3"/>
    <x v="1"/>
    <x v="2"/>
    <x v="0"/>
    <n v="1"/>
    <n v="1"/>
    <n v="0"/>
    <n v="0"/>
    <n v="0"/>
    <n v="3"/>
    <n v="1"/>
    <n v="0"/>
    <m/>
    <n v="63.2"/>
  </r>
  <r>
    <s v="USR-101253"/>
    <d v="2025-04-25T00:00:00"/>
    <x v="1"/>
    <x v="0"/>
    <x v="1"/>
    <x v="2"/>
    <x v="1"/>
    <n v="1"/>
    <n v="0"/>
    <n v="0"/>
    <n v="0"/>
    <n v="0"/>
    <n v="0"/>
    <n v="0"/>
    <n v="0"/>
    <m/>
    <n v="55.4"/>
  </r>
  <r>
    <s v="USR-101254"/>
    <d v="2025-05-02T00:00:00"/>
    <x v="1"/>
    <x v="1"/>
    <x v="1"/>
    <x v="4"/>
    <x v="0"/>
    <n v="0"/>
    <n v="0"/>
    <n v="0"/>
    <n v="0"/>
    <n v="0"/>
    <n v="0"/>
    <n v="0"/>
    <n v="0"/>
    <m/>
    <n v="87.5"/>
  </r>
  <r>
    <s v="USR-101255"/>
    <d v="2025-03-08T00:00:00"/>
    <x v="1"/>
    <x v="3"/>
    <x v="0"/>
    <x v="4"/>
    <x v="0"/>
    <n v="1"/>
    <n v="0"/>
    <n v="0"/>
    <n v="0"/>
    <n v="0"/>
    <n v="0"/>
    <n v="0"/>
    <n v="0"/>
    <m/>
    <n v="48.5"/>
  </r>
  <r>
    <s v="USR-101256"/>
    <d v="2025-01-27T00:00:00"/>
    <x v="1"/>
    <x v="2"/>
    <x v="0"/>
    <x v="5"/>
    <x v="1"/>
    <n v="1"/>
    <n v="1"/>
    <n v="1"/>
    <n v="1"/>
    <n v="420.27"/>
    <n v="0"/>
    <n v="0"/>
    <n v="0"/>
    <n v="6"/>
    <n v="58.4"/>
  </r>
  <r>
    <s v="USR-101257"/>
    <d v="2025-04-27T00:00:00"/>
    <x v="1"/>
    <x v="1"/>
    <x v="1"/>
    <x v="2"/>
    <x v="1"/>
    <n v="0"/>
    <n v="0"/>
    <n v="0"/>
    <n v="0"/>
    <n v="0"/>
    <n v="0"/>
    <n v="0"/>
    <n v="0"/>
    <m/>
    <n v="59.5"/>
  </r>
  <r>
    <s v="USR-101258"/>
    <d v="2025-01-16T00:00:00"/>
    <x v="1"/>
    <x v="1"/>
    <x v="0"/>
    <x v="2"/>
    <x v="0"/>
    <n v="1"/>
    <n v="0"/>
    <n v="0"/>
    <n v="0"/>
    <n v="0"/>
    <n v="0"/>
    <n v="0"/>
    <n v="0"/>
    <m/>
    <n v="93.2"/>
  </r>
  <r>
    <s v="USR-101259"/>
    <d v="2025-01-18T00:00:00"/>
    <x v="1"/>
    <x v="1"/>
    <x v="0"/>
    <x v="2"/>
    <x v="0"/>
    <n v="1"/>
    <n v="0"/>
    <n v="0"/>
    <n v="0"/>
    <n v="0"/>
    <n v="0"/>
    <n v="0"/>
    <n v="0"/>
    <m/>
    <n v="59"/>
  </r>
  <r>
    <s v="USR-101260"/>
    <d v="2025-03-21T00:00:00"/>
    <x v="1"/>
    <x v="0"/>
    <x v="1"/>
    <x v="1"/>
    <x v="1"/>
    <n v="1"/>
    <n v="0"/>
    <n v="0"/>
    <n v="0"/>
    <n v="0"/>
    <n v="0"/>
    <n v="0"/>
    <n v="0"/>
    <m/>
    <n v="37"/>
  </r>
  <r>
    <s v="USR-101261"/>
    <d v="2025-04-02T00:00:00"/>
    <x v="1"/>
    <x v="0"/>
    <x v="0"/>
    <x v="2"/>
    <x v="1"/>
    <n v="1"/>
    <n v="0"/>
    <n v="0"/>
    <n v="0"/>
    <n v="0"/>
    <n v="0"/>
    <n v="0"/>
    <n v="0"/>
    <m/>
    <n v="47.5"/>
  </r>
  <r>
    <s v="USR-101262"/>
    <d v="2025-02-16T00:00:00"/>
    <x v="1"/>
    <x v="1"/>
    <x v="0"/>
    <x v="1"/>
    <x v="1"/>
    <n v="1"/>
    <n v="1"/>
    <n v="1"/>
    <n v="0"/>
    <n v="0"/>
    <n v="0"/>
    <n v="0"/>
    <n v="0"/>
    <m/>
    <n v="78.7"/>
  </r>
  <r>
    <s v="USR-101263"/>
    <d v="2025-02-18T00:00:00"/>
    <x v="1"/>
    <x v="0"/>
    <x v="1"/>
    <x v="4"/>
    <x v="1"/>
    <n v="1"/>
    <n v="0"/>
    <n v="0"/>
    <n v="0"/>
    <n v="0"/>
    <n v="0"/>
    <n v="0"/>
    <n v="0"/>
    <m/>
    <n v="49.6"/>
  </r>
  <r>
    <s v="USR-101264"/>
    <d v="2025-01-09T00:00:00"/>
    <x v="1"/>
    <x v="2"/>
    <x v="1"/>
    <x v="1"/>
    <x v="1"/>
    <n v="1"/>
    <n v="0"/>
    <n v="0"/>
    <n v="0"/>
    <n v="0"/>
    <n v="0"/>
    <n v="0"/>
    <n v="0"/>
    <m/>
    <n v="58"/>
  </r>
  <r>
    <s v="USR-101265"/>
    <d v="2025-02-18T00:00:00"/>
    <x v="1"/>
    <x v="0"/>
    <x v="0"/>
    <x v="2"/>
    <x v="1"/>
    <n v="1"/>
    <n v="0"/>
    <n v="0"/>
    <n v="0"/>
    <n v="0"/>
    <n v="1"/>
    <n v="1"/>
    <n v="0"/>
    <m/>
    <n v="54.4"/>
  </r>
  <r>
    <s v="USR-101266"/>
    <d v="2025-01-10T00:00:00"/>
    <x v="1"/>
    <x v="2"/>
    <x v="1"/>
    <x v="3"/>
    <x v="1"/>
    <n v="0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x v="1"/>
    <n v="1"/>
    <n v="0"/>
    <n v="0"/>
    <n v="0"/>
    <n v="0"/>
    <n v="0"/>
    <n v="0"/>
    <n v="0"/>
    <m/>
    <n v="72.7"/>
  </r>
  <r>
    <s v="USR-101268"/>
    <d v="2025-04-16T00:00:00"/>
    <x v="1"/>
    <x v="2"/>
    <x v="0"/>
    <x v="2"/>
    <x v="0"/>
    <n v="0"/>
    <n v="0"/>
    <n v="0"/>
    <n v="0"/>
    <n v="0"/>
    <n v="0"/>
    <n v="0"/>
    <n v="0"/>
    <m/>
    <n v="64.7"/>
  </r>
  <r>
    <s v="USR-101269"/>
    <d v="2025-02-19T00:00:00"/>
    <x v="1"/>
    <x v="1"/>
    <x v="0"/>
    <x v="2"/>
    <x v="2"/>
    <n v="0"/>
    <n v="0"/>
    <n v="0"/>
    <n v="0"/>
    <n v="0"/>
    <n v="1"/>
    <n v="1"/>
    <n v="0"/>
    <m/>
    <n v="48.6"/>
  </r>
  <r>
    <s v="USR-101270"/>
    <d v="2025-03-16T00:00:00"/>
    <x v="1"/>
    <x v="2"/>
    <x v="0"/>
    <x v="4"/>
    <x v="1"/>
    <n v="1"/>
    <n v="1"/>
    <n v="0"/>
    <n v="0"/>
    <n v="0"/>
    <n v="0"/>
    <n v="0"/>
    <n v="0"/>
    <m/>
    <n v="66.2"/>
  </r>
  <r>
    <s v="USR-101271"/>
    <d v="2025-02-03T00:00:00"/>
    <x v="1"/>
    <x v="1"/>
    <x v="3"/>
    <x v="3"/>
    <x v="0"/>
    <n v="1"/>
    <n v="0"/>
    <n v="0"/>
    <n v="0"/>
    <n v="0"/>
    <n v="1"/>
    <n v="1"/>
    <n v="0"/>
    <m/>
    <n v="60.7"/>
  </r>
  <r>
    <s v="USR-101272"/>
    <d v="2025-03-12T00:00:00"/>
    <x v="1"/>
    <x v="1"/>
    <x v="1"/>
    <x v="2"/>
    <x v="0"/>
    <n v="1"/>
    <n v="0"/>
    <n v="0"/>
    <n v="0"/>
    <n v="0"/>
    <n v="0"/>
    <n v="0"/>
    <n v="0"/>
    <m/>
    <n v="36.5"/>
  </r>
  <r>
    <s v="USR-101273"/>
    <d v="2025-05-09T00:00:00"/>
    <x v="1"/>
    <x v="1"/>
    <x v="1"/>
    <x v="4"/>
    <x v="1"/>
    <n v="1"/>
    <n v="1"/>
    <n v="1"/>
    <n v="0"/>
    <n v="0"/>
    <n v="3"/>
    <n v="1"/>
    <n v="0"/>
    <m/>
    <n v="69.7"/>
  </r>
  <r>
    <s v="USR-101274"/>
    <d v="2025-01-19T00:00:00"/>
    <x v="1"/>
    <x v="3"/>
    <x v="0"/>
    <x v="4"/>
    <x v="2"/>
    <n v="1"/>
    <n v="0"/>
    <n v="0"/>
    <n v="0"/>
    <n v="0"/>
    <n v="0"/>
    <n v="0"/>
    <n v="0"/>
    <m/>
    <n v="81.8"/>
  </r>
  <r>
    <s v="USR-101275"/>
    <d v="2025-01-24T00:00:00"/>
    <x v="1"/>
    <x v="1"/>
    <x v="1"/>
    <x v="3"/>
    <x v="1"/>
    <n v="1"/>
    <n v="1"/>
    <n v="1"/>
    <n v="0"/>
    <n v="0"/>
    <n v="1"/>
    <n v="1"/>
    <n v="0"/>
    <m/>
    <n v="78.3"/>
  </r>
  <r>
    <s v="USR-101276"/>
    <d v="2025-03-03T00:00:00"/>
    <x v="1"/>
    <x v="2"/>
    <x v="1"/>
    <x v="3"/>
    <x v="1"/>
    <n v="1"/>
    <n v="1"/>
    <n v="0"/>
    <n v="0"/>
    <n v="0"/>
    <n v="0"/>
    <n v="0"/>
    <n v="0"/>
    <m/>
    <n v="79.400000000000006"/>
  </r>
  <r>
    <s v="USR-101277"/>
    <d v="2025-05-27T00:00:00"/>
    <x v="1"/>
    <x v="0"/>
    <x v="0"/>
    <x v="3"/>
    <x v="1"/>
    <n v="1"/>
    <n v="1"/>
    <n v="1"/>
    <n v="0"/>
    <n v="0"/>
    <n v="0"/>
    <n v="0"/>
    <n v="0"/>
    <m/>
    <n v="54.9"/>
  </r>
  <r>
    <s v="USR-101278"/>
    <d v="2025-04-23T00:00:00"/>
    <x v="1"/>
    <x v="1"/>
    <x v="0"/>
    <x v="1"/>
    <x v="0"/>
    <n v="1"/>
    <n v="0"/>
    <n v="0"/>
    <n v="0"/>
    <n v="0"/>
    <n v="0"/>
    <n v="0"/>
    <n v="0"/>
    <m/>
    <n v="54.9"/>
  </r>
  <r>
    <s v="USR-101279"/>
    <d v="2025-02-10T00:00:00"/>
    <x v="1"/>
    <x v="2"/>
    <x v="0"/>
    <x v="4"/>
    <x v="1"/>
    <n v="0"/>
    <n v="0"/>
    <n v="0"/>
    <n v="0"/>
    <n v="0"/>
    <n v="0"/>
    <n v="0"/>
    <n v="0"/>
    <m/>
    <n v="28.7"/>
  </r>
  <r>
    <s v="USR-101280"/>
    <d v="2025-02-11T00:00:00"/>
    <x v="1"/>
    <x v="0"/>
    <x v="1"/>
    <x v="1"/>
    <x v="1"/>
    <n v="0"/>
    <n v="0"/>
    <n v="0"/>
    <n v="0"/>
    <n v="0"/>
    <n v="0"/>
    <n v="0"/>
    <n v="0"/>
    <m/>
    <n v="68.8"/>
  </r>
  <r>
    <s v="USR-101281"/>
    <d v="2025-01-21T00:00:00"/>
    <x v="1"/>
    <x v="2"/>
    <x v="0"/>
    <x v="2"/>
    <x v="1"/>
    <n v="1"/>
    <n v="1"/>
    <n v="1"/>
    <n v="0"/>
    <n v="0"/>
    <n v="0"/>
    <n v="0"/>
    <n v="0"/>
    <m/>
    <n v="43.5"/>
  </r>
  <r>
    <s v="USR-101282"/>
    <d v="2025-02-02T00:00:00"/>
    <x v="1"/>
    <x v="1"/>
    <x v="0"/>
    <x v="4"/>
    <x v="1"/>
    <n v="1"/>
    <n v="1"/>
    <n v="0"/>
    <n v="0"/>
    <n v="0"/>
    <n v="0"/>
    <n v="0"/>
    <n v="0"/>
    <m/>
    <n v="62.6"/>
  </r>
  <r>
    <s v="USR-101283"/>
    <d v="2025-02-02T00:00:00"/>
    <x v="1"/>
    <x v="1"/>
    <x v="1"/>
    <x v="1"/>
    <x v="1"/>
    <n v="0"/>
    <n v="0"/>
    <n v="0"/>
    <n v="0"/>
    <n v="0"/>
    <n v="1"/>
    <n v="1"/>
    <n v="0"/>
    <m/>
    <n v="54.1"/>
  </r>
  <r>
    <s v="USR-101284"/>
    <d v="2025-02-26T00:00:00"/>
    <x v="1"/>
    <x v="1"/>
    <x v="2"/>
    <x v="4"/>
    <x v="1"/>
    <n v="1"/>
    <n v="1"/>
    <n v="1"/>
    <n v="0"/>
    <n v="0"/>
    <n v="0"/>
    <n v="0"/>
    <n v="0"/>
    <m/>
    <n v="80.099999999999994"/>
  </r>
  <r>
    <s v="USR-101285"/>
    <d v="2025-04-22T00:00:00"/>
    <x v="1"/>
    <x v="0"/>
    <x v="1"/>
    <x v="4"/>
    <x v="2"/>
    <n v="1"/>
    <n v="0"/>
    <n v="0"/>
    <n v="0"/>
    <n v="0"/>
    <n v="0"/>
    <n v="0"/>
    <n v="0"/>
    <m/>
    <n v="69.5"/>
  </r>
  <r>
    <s v="USR-101286"/>
    <d v="2025-03-11T00:00:00"/>
    <x v="1"/>
    <x v="0"/>
    <x v="0"/>
    <x v="1"/>
    <x v="0"/>
    <n v="0"/>
    <n v="0"/>
    <n v="0"/>
    <n v="0"/>
    <n v="0"/>
    <n v="2"/>
    <n v="1"/>
    <n v="0"/>
    <m/>
    <n v="46.6"/>
  </r>
  <r>
    <s v="USR-101287"/>
    <d v="2025-05-08T00:00:00"/>
    <x v="1"/>
    <x v="3"/>
    <x v="1"/>
    <x v="1"/>
    <x v="2"/>
    <n v="1"/>
    <n v="0"/>
    <n v="0"/>
    <n v="0"/>
    <n v="0"/>
    <n v="1"/>
    <n v="1"/>
    <n v="0"/>
    <m/>
    <n v="54.9"/>
  </r>
  <r>
    <s v="USR-101288"/>
    <d v="2025-03-10T00:00:00"/>
    <x v="1"/>
    <x v="2"/>
    <x v="0"/>
    <x v="1"/>
    <x v="1"/>
    <n v="0"/>
    <n v="0"/>
    <n v="0"/>
    <n v="0"/>
    <n v="0"/>
    <n v="0"/>
    <n v="0"/>
    <n v="0"/>
    <m/>
    <n v="100"/>
  </r>
  <r>
    <s v="USR-101289"/>
    <d v="2025-04-16T00:00:00"/>
    <x v="1"/>
    <x v="2"/>
    <x v="0"/>
    <x v="2"/>
    <x v="1"/>
    <n v="1"/>
    <n v="1"/>
    <n v="1"/>
    <n v="0"/>
    <n v="0"/>
    <n v="1"/>
    <n v="1"/>
    <n v="0"/>
    <m/>
    <n v="80.5"/>
  </r>
  <r>
    <s v="USR-101290"/>
    <d v="2025-03-01T00:00:00"/>
    <x v="1"/>
    <x v="1"/>
    <x v="2"/>
    <x v="1"/>
    <x v="0"/>
    <n v="1"/>
    <n v="0"/>
    <n v="0"/>
    <n v="0"/>
    <n v="0"/>
    <n v="0"/>
    <n v="0"/>
    <n v="0"/>
    <m/>
    <n v="51.2"/>
  </r>
  <r>
    <s v="USR-101291"/>
    <d v="2025-01-18T00:00:00"/>
    <x v="1"/>
    <x v="3"/>
    <x v="0"/>
    <x v="1"/>
    <x v="2"/>
    <n v="1"/>
    <n v="0"/>
    <n v="0"/>
    <n v="0"/>
    <n v="0"/>
    <n v="0"/>
    <n v="0"/>
    <n v="0"/>
    <m/>
    <n v="42.5"/>
  </r>
  <r>
    <s v="USR-101292"/>
    <d v="2025-03-30T00:00:00"/>
    <x v="1"/>
    <x v="0"/>
    <x v="1"/>
    <x v="2"/>
    <x v="1"/>
    <n v="0"/>
    <n v="0"/>
    <n v="0"/>
    <n v="0"/>
    <n v="0"/>
    <n v="0"/>
    <n v="0"/>
    <n v="0"/>
    <m/>
    <n v="72.5"/>
  </r>
  <r>
    <s v="USR-101293"/>
    <d v="2025-05-26T00:00:00"/>
    <x v="1"/>
    <x v="1"/>
    <x v="1"/>
    <x v="4"/>
    <x v="2"/>
    <n v="0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x v="1"/>
    <n v="0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x v="1"/>
    <n v="1"/>
    <n v="0"/>
    <n v="0"/>
    <n v="0"/>
    <n v="0"/>
    <n v="0"/>
    <n v="0"/>
    <n v="0"/>
    <m/>
    <n v="71.5"/>
  </r>
  <r>
    <s v="USR-101296"/>
    <d v="2025-05-28T00:00:00"/>
    <x v="1"/>
    <x v="3"/>
    <x v="0"/>
    <x v="4"/>
    <x v="1"/>
    <n v="1"/>
    <n v="0"/>
    <n v="0"/>
    <n v="0"/>
    <n v="0"/>
    <n v="0"/>
    <n v="0"/>
    <n v="0"/>
    <m/>
    <n v="66.7"/>
  </r>
  <r>
    <s v="USR-101297"/>
    <d v="2025-05-31T00:00:00"/>
    <x v="1"/>
    <x v="3"/>
    <x v="0"/>
    <x v="3"/>
    <x v="2"/>
    <n v="1"/>
    <n v="1"/>
    <n v="1"/>
    <n v="1"/>
    <n v="1496.09"/>
    <n v="0"/>
    <n v="0"/>
    <n v="0"/>
    <n v="7"/>
    <n v="60.4"/>
  </r>
  <r>
    <s v="USR-101298"/>
    <d v="2025-05-10T00:00:00"/>
    <x v="1"/>
    <x v="0"/>
    <x v="1"/>
    <x v="3"/>
    <x v="1"/>
    <n v="0"/>
    <n v="0"/>
    <n v="0"/>
    <n v="0"/>
    <n v="0"/>
    <n v="1"/>
    <n v="1"/>
    <n v="0"/>
    <m/>
    <n v="72.900000000000006"/>
  </r>
  <r>
    <s v="USR-101299"/>
    <d v="2025-05-17T00:00:00"/>
    <x v="1"/>
    <x v="1"/>
    <x v="1"/>
    <x v="1"/>
    <x v="1"/>
    <n v="0"/>
    <n v="0"/>
    <n v="0"/>
    <n v="0"/>
    <n v="0"/>
    <n v="3"/>
    <n v="1"/>
    <n v="0"/>
    <m/>
    <m/>
  </r>
  <r>
    <s v="USR-101300"/>
    <d v="2025-01-18T00:00:00"/>
    <x v="1"/>
    <x v="3"/>
    <x v="1"/>
    <x v="1"/>
    <x v="2"/>
    <n v="1"/>
    <n v="0"/>
    <n v="0"/>
    <n v="0"/>
    <n v="0"/>
    <n v="0"/>
    <n v="0"/>
    <n v="0"/>
    <m/>
    <n v="55.2"/>
  </r>
  <r>
    <s v="USR-101301"/>
    <d v="2025-05-04T00:00:00"/>
    <x v="1"/>
    <x v="1"/>
    <x v="1"/>
    <x v="4"/>
    <x v="1"/>
    <n v="1"/>
    <n v="0"/>
    <n v="0"/>
    <n v="0"/>
    <n v="0"/>
    <n v="0"/>
    <n v="0"/>
    <n v="0"/>
    <m/>
    <n v="67.8"/>
  </r>
  <r>
    <s v="USR-101302"/>
    <d v="2025-03-25T00:00:00"/>
    <x v="1"/>
    <x v="0"/>
    <x v="1"/>
    <x v="1"/>
    <x v="1"/>
    <n v="1"/>
    <n v="0"/>
    <n v="0"/>
    <n v="0"/>
    <n v="0"/>
    <n v="2"/>
    <n v="1"/>
    <n v="0"/>
    <m/>
    <n v="70"/>
  </r>
  <r>
    <s v="USR-101303"/>
    <d v="2025-02-27T00:00:00"/>
    <x v="1"/>
    <x v="0"/>
    <x v="1"/>
    <x v="4"/>
    <x v="0"/>
    <n v="1"/>
    <n v="1"/>
    <n v="1"/>
    <n v="0"/>
    <n v="0"/>
    <n v="0"/>
    <n v="0"/>
    <n v="0"/>
    <m/>
    <n v="51.1"/>
  </r>
  <r>
    <s v="USR-101304"/>
    <d v="2025-01-14T00:00:00"/>
    <x v="1"/>
    <x v="1"/>
    <x v="1"/>
    <x v="2"/>
    <x v="0"/>
    <n v="1"/>
    <n v="1"/>
    <n v="1"/>
    <n v="0"/>
    <n v="0"/>
    <n v="0"/>
    <n v="0"/>
    <n v="0"/>
    <m/>
    <n v="57"/>
  </r>
  <r>
    <s v="USR-101305"/>
    <d v="2025-04-11T00:00:00"/>
    <x v="1"/>
    <x v="2"/>
    <x v="1"/>
    <x v="4"/>
    <x v="1"/>
    <n v="0"/>
    <n v="0"/>
    <n v="0"/>
    <n v="0"/>
    <n v="0"/>
    <n v="1"/>
    <n v="1"/>
    <n v="0"/>
    <m/>
    <n v="47.1"/>
  </r>
  <r>
    <s v="USR-101306"/>
    <d v="2025-03-26T00:00:00"/>
    <x v="1"/>
    <x v="2"/>
    <x v="0"/>
    <x v="4"/>
    <x v="0"/>
    <n v="0"/>
    <n v="0"/>
    <n v="0"/>
    <n v="0"/>
    <n v="0"/>
    <n v="0"/>
    <n v="0"/>
    <n v="0"/>
    <m/>
    <n v="30.7"/>
  </r>
  <r>
    <s v="USR-101307"/>
    <d v="2025-02-12T00:00:00"/>
    <x v="1"/>
    <x v="1"/>
    <x v="0"/>
    <x v="4"/>
    <x v="1"/>
    <n v="1"/>
    <n v="0"/>
    <n v="0"/>
    <n v="0"/>
    <n v="0"/>
    <n v="0"/>
    <n v="0"/>
    <n v="0"/>
    <m/>
    <n v="57.3"/>
  </r>
  <r>
    <s v="USR-101308"/>
    <d v="2025-02-18T00:00:00"/>
    <x v="1"/>
    <x v="1"/>
    <x v="2"/>
    <x v="2"/>
    <x v="0"/>
    <n v="1"/>
    <n v="0"/>
    <n v="0"/>
    <n v="0"/>
    <n v="0"/>
    <n v="0"/>
    <n v="0"/>
    <n v="0"/>
    <m/>
    <n v="70"/>
  </r>
  <r>
    <s v="USR-101309"/>
    <d v="2025-05-25T00:00:00"/>
    <x v="1"/>
    <x v="2"/>
    <x v="0"/>
    <x v="4"/>
    <x v="1"/>
    <n v="1"/>
    <n v="1"/>
    <n v="1"/>
    <n v="0"/>
    <n v="0"/>
    <n v="0"/>
    <n v="0"/>
    <n v="0"/>
    <m/>
    <n v="59.7"/>
  </r>
  <r>
    <s v="USR-101310"/>
    <d v="2025-05-23T00:00:00"/>
    <x v="1"/>
    <x v="2"/>
    <x v="0"/>
    <x v="2"/>
    <x v="0"/>
    <n v="1"/>
    <n v="0"/>
    <n v="0"/>
    <n v="0"/>
    <n v="0"/>
    <n v="0"/>
    <n v="0"/>
    <n v="0"/>
    <m/>
    <n v="68.8"/>
  </r>
  <r>
    <s v="USR-101311"/>
    <d v="2025-01-16T00:00:00"/>
    <x v="1"/>
    <x v="0"/>
    <x v="0"/>
    <x v="1"/>
    <x v="1"/>
    <n v="1"/>
    <n v="1"/>
    <n v="1"/>
    <n v="1"/>
    <n v="428.37"/>
    <n v="0"/>
    <n v="0"/>
    <n v="0"/>
    <n v="9"/>
    <n v="88.3"/>
  </r>
  <r>
    <s v="USR-101312"/>
    <d v="2025-01-19T00:00:00"/>
    <x v="1"/>
    <x v="1"/>
    <x v="0"/>
    <x v="0"/>
    <x v="0"/>
    <n v="0"/>
    <n v="0"/>
    <n v="0"/>
    <n v="0"/>
    <n v="0"/>
    <n v="0"/>
    <n v="0"/>
    <n v="0"/>
    <m/>
    <n v="83.4"/>
  </r>
  <r>
    <s v="USR-101313"/>
    <d v="2025-05-18T00:00:00"/>
    <x v="1"/>
    <x v="3"/>
    <x v="1"/>
    <x v="3"/>
    <x v="1"/>
    <n v="0"/>
    <n v="0"/>
    <n v="0"/>
    <n v="0"/>
    <n v="0"/>
    <n v="1"/>
    <n v="1"/>
    <n v="0"/>
    <m/>
    <n v="81.599999999999994"/>
  </r>
  <r>
    <s v="USR-101314"/>
    <d v="2025-01-23T00:00:00"/>
    <x v="1"/>
    <x v="2"/>
    <x v="2"/>
    <x v="4"/>
    <x v="2"/>
    <n v="1"/>
    <n v="0"/>
    <n v="0"/>
    <n v="0"/>
    <n v="0"/>
    <n v="0"/>
    <n v="0"/>
    <n v="0"/>
    <m/>
    <n v="91.6"/>
  </r>
  <r>
    <s v="USR-101315"/>
    <d v="2025-01-08T00:00:00"/>
    <x v="1"/>
    <x v="2"/>
    <x v="2"/>
    <x v="5"/>
    <x v="2"/>
    <n v="1"/>
    <n v="1"/>
    <n v="1"/>
    <n v="0"/>
    <n v="0"/>
    <n v="1"/>
    <n v="1"/>
    <n v="0"/>
    <m/>
    <n v="61.5"/>
  </r>
  <r>
    <s v="USR-101316"/>
    <d v="2025-02-19T00:00:00"/>
    <x v="1"/>
    <x v="0"/>
    <x v="1"/>
    <x v="1"/>
    <x v="2"/>
    <n v="0"/>
    <n v="0"/>
    <n v="0"/>
    <n v="0"/>
    <n v="0"/>
    <n v="0"/>
    <n v="0"/>
    <n v="0"/>
    <m/>
    <m/>
  </r>
  <r>
    <s v="USR-101317"/>
    <d v="2025-02-10T00:00:00"/>
    <x v="1"/>
    <x v="3"/>
    <x v="1"/>
    <x v="1"/>
    <x v="1"/>
    <n v="1"/>
    <n v="0"/>
    <n v="0"/>
    <n v="0"/>
    <n v="0"/>
    <n v="0"/>
    <n v="0"/>
    <n v="0"/>
    <m/>
    <n v="32.6"/>
  </r>
  <r>
    <s v="USR-101318"/>
    <d v="2025-04-13T00:00:00"/>
    <x v="1"/>
    <x v="3"/>
    <x v="1"/>
    <x v="2"/>
    <x v="1"/>
    <n v="1"/>
    <n v="0"/>
    <n v="0"/>
    <n v="0"/>
    <n v="0"/>
    <n v="0"/>
    <n v="0"/>
    <n v="0"/>
    <m/>
    <n v="73.900000000000006"/>
  </r>
  <r>
    <s v="USR-101319"/>
    <d v="2025-05-20T00:00:00"/>
    <x v="1"/>
    <x v="2"/>
    <x v="1"/>
    <x v="1"/>
    <x v="1"/>
    <n v="1"/>
    <n v="1"/>
    <n v="1"/>
    <n v="1"/>
    <n v="444.06"/>
    <n v="0"/>
    <n v="0"/>
    <n v="0"/>
    <n v="9"/>
    <n v="99.9"/>
  </r>
  <r>
    <s v="USR-101320"/>
    <d v="2025-05-13T00:00:00"/>
    <x v="1"/>
    <x v="3"/>
    <x v="1"/>
    <x v="2"/>
    <x v="0"/>
    <n v="1"/>
    <n v="1"/>
    <n v="0"/>
    <n v="0"/>
    <n v="0"/>
    <n v="1"/>
    <n v="1"/>
    <n v="0"/>
    <m/>
    <n v="62.4"/>
  </r>
  <r>
    <s v="USR-101321"/>
    <d v="2025-05-28T00:00:00"/>
    <x v="1"/>
    <x v="3"/>
    <x v="0"/>
    <x v="2"/>
    <x v="0"/>
    <n v="1"/>
    <n v="0"/>
    <n v="0"/>
    <n v="0"/>
    <n v="0"/>
    <n v="0"/>
    <n v="0"/>
    <n v="0"/>
    <m/>
    <n v="46.1"/>
  </r>
  <r>
    <s v="USR-101322"/>
    <d v="2025-03-19T00:00:00"/>
    <x v="1"/>
    <x v="1"/>
    <x v="1"/>
    <x v="1"/>
    <x v="1"/>
    <n v="1"/>
    <n v="1"/>
    <n v="1"/>
    <n v="1"/>
    <n v="2660.21"/>
    <n v="0"/>
    <n v="0"/>
    <n v="0"/>
    <n v="3"/>
    <n v="73.900000000000006"/>
  </r>
  <r>
    <s v="USR-101323"/>
    <d v="2025-02-03T00:00:00"/>
    <x v="1"/>
    <x v="0"/>
    <x v="1"/>
    <x v="0"/>
    <x v="2"/>
    <n v="0"/>
    <n v="0"/>
    <n v="0"/>
    <n v="0"/>
    <n v="0"/>
    <n v="0"/>
    <n v="0"/>
    <n v="0"/>
    <m/>
    <n v="90"/>
  </r>
  <r>
    <s v="USR-101324"/>
    <d v="2025-02-26T00:00:00"/>
    <x v="1"/>
    <x v="3"/>
    <x v="1"/>
    <x v="0"/>
    <x v="0"/>
    <n v="1"/>
    <n v="0"/>
    <n v="0"/>
    <n v="0"/>
    <n v="0"/>
    <n v="1"/>
    <n v="1"/>
    <n v="0"/>
    <m/>
    <n v="68.8"/>
  </r>
  <r>
    <s v="USR-101325"/>
    <d v="2025-01-26T00:00:00"/>
    <x v="1"/>
    <x v="1"/>
    <x v="1"/>
    <x v="2"/>
    <x v="1"/>
    <n v="1"/>
    <n v="0"/>
    <n v="0"/>
    <n v="0"/>
    <n v="0"/>
    <n v="0"/>
    <n v="0"/>
    <n v="0"/>
    <m/>
    <n v="66.599999999999994"/>
  </r>
  <r>
    <s v="USR-101326"/>
    <d v="2025-05-13T00:00:00"/>
    <x v="1"/>
    <x v="0"/>
    <x v="1"/>
    <x v="1"/>
    <x v="2"/>
    <n v="1"/>
    <n v="0"/>
    <n v="0"/>
    <n v="0"/>
    <n v="0"/>
    <n v="0"/>
    <n v="0"/>
    <n v="0"/>
    <m/>
    <n v="49.7"/>
  </r>
  <r>
    <s v="USR-101327"/>
    <d v="2025-02-02T00:00:00"/>
    <x v="1"/>
    <x v="3"/>
    <x v="1"/>
    <x v="2"/>
    <x v="0"/>
    <n v="0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x v="0"/>
    <n v="0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x v="1"/>
    <n v="0"/>
    <n v="0"/>
    <n v="0"/>
    <n v="0"/>
    <n v="0"/>
    <n v="0"/>
    <n v="0"/>
    <n v="0"/>
    <m/>
    <n v="46.1"/>
  </r>
  <r>
    <s v="USR-101330"/>
    <d v="2025-04-09T00:00:00"/>
    <x v="1"/>
    <x v="1"/>
    <x v="0"/>
    <x v="3"/>
    <x v="2"/>
    <n v="1"/>
    <n v="0"/>
    <n v="0"/>
    <n v="0"/>
    <n v="0"/>
    <n v="0"/>
    <n v="0"/>
    <n v="0"/>
    <m/>
    <n v="85.6"/>
  </r>
  <r>
    <s v="USR-101331"/>
    <d v="2025-01-22T00:00:00"/>
    <x v="1"/>
    <x v="3"/>
    <x v="2"/>
    <x v="1"/>
    <x v="1"/>
    <n v="0"/>
    <n v="0"/>
    <n v="0"/>
    <n v="0"/>
    <n v="0"/>
    <n v="0"/>
    <n v="0"/>
    <n v="0"/>
    <m/>
    <n v="39.6"/>
  </r>
  <r>
    <s v="USR-101332"/>
    <d v="2025-01-27T00:00:00"/>
    <x v="1"/>
    <x v="3"/>
    <x v="1"/>
    <x v="1"/>
    <x v="0"/>
    <n v="1"/>
    <n v="0"/>
    <n v="0"/>
    <n v="0"/>
    <n v="0"/>
    <n v="0"/>
    <n v="0"/>
    <n v="0"/>
    <m/>
    <n v="52.5"/>
  </r>
  <r>
    <s v="USR-101333"/>
    <d v="2025-01-22T00:00:00"/>
    <x v="1"/>
    <x v="2"/>
    <x v="1"/>
    <x v="4"/>
    <x v="2"/>
    <n v="1"/>
    <n v="0"/>
    <n v="0"/>
    <n v="0"/>
    <n v="0"/>
    <n v="0"/>
    <n v="0"/>
    <n v="0"/>
    <m/>
    <n v="73.5"/>
  </r>
  <r>
    <s v="USR-101334"/>
    <d v="2025-01-06T00:00:00"/>
    <x v="1"/>
    <x v="1"/>
    <x v="0"/>
    <x v="2"/>
    <x v="1"/>
    <n v="0"/>
    <n v="0"/>
    <n v="0"/>
    <n v="0"/>
    <n v="0"/>
    <n v="0"/>
    <n v="0"/>
    <n v="0"/>
    <m/>
    <n v="62.5"/>
  </r>
  <r>
    <s v="USR-101335"/>
    <d v="2025-04-16T00:00:00"/>
    <x v="1"/>
    <x v="3"/>
    <x v="3"/>
    <x v="1"/>
    <x v="1"/>
    <n v="1"/>
    <n v="0"/>
    <n v="0"/>
    <n v="0"/>
    <n v="0"/>
    <n v="0"/>
    <n v="0"/>
    <n v="0"/>
    <m/>
    <n v="76.900000000000006"/>
  </r>
  <r>
    <s v="USR-101336"/>
    <d v="2025-04-14T00:00:00"/>
    <x v="1"/>
    <x v="3"/>
    <x v="1"/>
    <x v="1"/>
    <x v="1"/>
    <n v="1"/>
    <n v="0"/>
    <n v="0"/>
    <n v="0"/>
    <n v="0"/>
    <n v="0"/>
    <n v="0"/>
    <n v="0"/>
    <m/>
    <n v="51.4"/>
  </r>
  <r>
    <s v="USR-101337"/>
    <d v="2025-02-22T00:00:00"/>
    <x v="1"/>
    <x v="1"/>
    <x v="1"/>
    <x v="2"/>
    <x v="0"/>
    <n v="1"/>
    <n v="0"/>
    <n v="0"/>
    <n v="0"/>
    <n v="0"/>
    <n v="0"/>
    <n v="0"/>
    <n v="0"/>
    <m/>
    <n v="59.3"/>
  </r>
  <r>
    <s v="USR-101338"/>
    <d v="2025-03-09T00:00:00"/>
    <x v="1"/>
    <x v="0"/>
    <x v="1"/>
    <x v="1"/>
    <x v="0"/>
    <n v="0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x v="1"/>
    <n v="1"/>
    <n v="0"/>
    <n v="0"/>
    <n v="0"/>
    <n v="0"/>
    <n v="0"/>
    <n v="0"/>
    <n v="0"/>
    <m/>
    <n v="67"/>
  </r>
  <r>
    <s v="USR-101340"/>
    <d v="2025-03-10T00:00:00"/>
    <x v="1"/>
    <x v="3"/>
    <x v="1"/>
    <x v="0"/>
    <x v="1"/>
    <n v="0"/>
    <n v="0"/>
    <n v="0"/>
    <n v="0"/>
    <n v="0"/>
    <n v="0"/>
    <n v="0"/>
    <n v="0"/>
    <m/>
    <n v="63.6"/>
  </r>
  <r>
    <s v="USR-101341"/>
    <d v="2025-02-21T00:00:00"/>
    <x v="1"/>
    <x v="3"/>
    <x v="1"/>
    <x v="0"/>
    <x v="1"/>
    <n v="1"/>
    <n v="1"/>
    <n v="0"/>
    <n v="0"/>
    <n v="0"/>
    <n v="1"/>
    <n v="1"/>
    <n v="0"/>
    <m/>
    <n v="58.4"/>
  </r>
  <r>
    <s v="USR-101342"/>
    <d v="2025-01-06T00:00:00"/>
    <x v="1"/>
    <x v="0"/>
    <x v="0"/>
    <x v="4"/>
    <x v="1"/>
    <n v="1"/>
    <n v="0"/>
    <n v="0"/>
    <n v="0"/>
    <n v="0"/>
    <n v="0"/>
    <n v="0"/>
    <n v="0"/>
    <m/>
    <n v="36.799999999999997"/>
  </r>
  <r>
    <s v="USR-101343"/>
    <d v="2025-04-17T00:00:00"/>
    <x v="1"/>
    <x v="3"/>
    <x v="1"/>
    <x v="1"/>
    <x v="2"/>
    <n v="1"/>
    <n v="0"/>
    <n v="0"/>
    <n v="0"/>
    <n v="0"/>
    <n v="0"/>
    <n v="0"/>
    <n v="0"/>
    <m/>
    <n v="71.599999999999994"/>
  </r>
  <r>
    <s v="USR-101344"/>
    <d v="2025-05-23T00:00:00"/>
    <x v="1"/>
    <x v="3"/>
    <x v="1"/>
    <x v="0"/>
    <x v="0"/>
    <n v="1"/>
    <n v="1"/>
    <n v="0"/>
    <n v="0"/>
    <n v="0"/>
    <n v="1"/>
    <n v="1"/>
    <n v="0"/>
    <m/>
    <n v="79.7"/>
  </r>
  <r>
    <s v="USR-101345"/>
    <d v="2025-03-14T00:00:00"/>
    <x v="1"/>
    <x v="1"/>
    <x v="0"/>
    <x v="1"/>
    <x v="0"/>
    <n v="1"/>
    <n v="0"/>
    <n v="0"/>
    <n v="0"/>
    <n v="0"/>
    <n v="1"/>
    <n v="1"/>
    <n v="0"/>
    <m/>
    <n v="56.5"/>
  </r>
  <r>
    <s v="USR-101346"/>
    <d v="2025-04-21T00:00:00"/>
    <x v="1"/>
    <x v="0"/>
    <x v="1"/>
    <x v="4"/>
    <x v="2"/>
    <n v="1"/>
    <n v="0"/>
    <n v="0"/>
    <n v="0"/>
    <n v="0"/>
    <n v="0"/>
    <n v="0"/>
    <n v="0"/>
    <m/>
    <n v="44.7"/>
  </r>
  <r>
    <s v="USR-101347"/>
    <d v="2025-01-03T00:00:00"/>
    <x v="1"/>
    <x v="3"/>
    <x v="1"/>
    <x v="4"/>
    <x v="1"/>
    <n v="1"/>
    <n v="1"/>
    <n v="1"/>
    <n v="0"/>
    <n v="0"/>
    <n v="1"/>
    <n v="1"/>
    <n v="0"/>
    <m/>
    <n v="66"/>
  </r>
  <r>
    <s v="USR-101348"/>
    <d v="2025-05-09T00:00:00"/>
    <x v="1"/>
    <x v="0"/>
    <x v="0"/>
    <x v="1"/>
    <x v="0"/>
    <n v="1"/>
    <n v="0"/>
    <n v="0"/>
    <n v="0"/>
    <n v="0"/>
    <n v="0"/>
    <n v="0"/>
    <n v="0"/>
    <m/>
    <n v="73"/>
  </r>
  <r>
    <s v="USR-101349"/>
    <d v="2025-05-22T00:00:00"/>
    <x v="1"/>
    <x v="3"/>
    <x v="1"/>
    <x v="1"/>
    <x v="0"/>
    <n v="1"/>
    <n v="1"/>
    <n v="1"/>
    <n v="0"/>
    <n v="0"/>
    <n v="1"/>
    <n v="1"/>
    <n v="0"/>
    <m/>
    <n v="72.5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0"/>
    <n v="6"/>
    <n v="100"/>
  </r>
  <r>
    <s v="USR-101351"/>
    <d v="2025-02-08T00:00:00"/>
    <x v="1"/>
    <x v="2"/>
    <x v="1"/>
    <x v="4"/>
    <x v="1"/>
    <n v="0"/>
    <n v="0"/>
    <n v="0"/>
    <n v="0"/>
    <n v="0"/>
    <n v="1"/>
    <n v="1"/>
    <n v="0"/>
    <m/>
    <n v="90.5"/>
  </r>
  <r>
    <s v="USR-101352"/>
    <d v="2025-04-03T00:00:00"/>
    <x v="1"/>
    <x v="0"/>
    <x v="2"/>
    <x v="4"/>
    <x v="0"/>
    <n v="1"/>
    <n v="0"/>
    <n v="0"/>
    <n v="0"/>
    <n v="0"/>
    <n v="0"/>
    <n v="0"/>
    <n v="0"/>
    <m/>
    <n v="70.2"/>
  </r>
  <r>
    <s v="USR-101353"/>
    <d v="2025-04-17T00:00:00"/>
    <x v="1"/>
    <x v="2"/>
    <x v="0"/>
    <x v="2"/>
    <x v="1"/>
    <n v="1"/>
    <n v="0"/>
    <n v="0"/>
    <n v="0"/>
    <n v="0"/>
    <n v="1"/>
    <n v="1"/>
    <n v="0"/>
    <m/>
    <n v="67.099999999999994"/>
  </r>
  <r>
    <s v="USR-101354"/>
    <d v="2025-05-04T00:00:00"/>
    <x v="1"/>
    <x v="2"/>
    <x v="1"/>
    <x v="1"/>
    <x v="1"/>
    <n v="0"/>
    <n v="0"/>
    <n v="0"/>
    <n v="0"/>
    <n v="0"/>
    <n v="0"/>
    <n v="0"/>
    <n v="0"/>
    <m/>
    <n v="54.5"/>
  </r>
  <r>
    <s v="USR-101355"/>
    <d v="2025-05-11T00:00:00"/>
    <x v="1"/>
    <x v="1"/>
    <x v="0"/>
    <x v="1"/>
    <x v="1"/>
    <n v="1"/>
    <n v="0"/>
    <n v="0"/>
    <n v="0"/>
    <n v="0"/>
    <n v="0"/>
    <n v="0"/>
    <n v="0"/>
    <m/>
    <n v="63.4"/>
  </r>
  <r>
    <s v="USR-101356"/>
    <d v="2025-03-01T00:00:00"/>
    <x v="1"/>
    <x v="0"/>
    <x v="0"/>
    <x v="5"/>
    <x v="1"/>
    <n v="1"/>
    <n v="1"/>
    <n v="1"/>
    <n v="0"/>
    <n v="0"/>
    <n v="0"/>
    <n v="0"/>
    <n v="0"/>
    <m/>
    <n v="84.3"/>
  </r>
  <r>
    <s v="USR-101357"/>
    <d v="2025-02-20T00:00:00"/>
    <x v="1"/>
    <x v="1"/>
    <x v="0"/>
    <x v="1"/>
    <x v="1"/>
    <n v="1"/>
    <n v="0"/>
    <n v="0"/>
    <n v="0"/>
    <n v="0"/>
    <n v="1"/>
    <n v="1"/>
    <n v="0"/>
    <m/>
    <n v="55"/>
  </r>
  <r>
    <s v="USR-101358"/>
    <d v="2025-05-09T00:00:00"/>
    <x v="1"/>
    <x v="1"/>
    <x v="1"/>
    <x v="4"/>
    <x v="1"/>
    <n v="1"/>
    <n v="0"/>
    <n v="0"/>
    <n v="0"/>
    <n v="0"/>
    <n v="0"/>
    <n v="0"/>
    <n v="0"/>
    <m/>
    <n v="63.6"/>
  </r>
  <r>
    <s v="USR-101359"/>
    <d v="2025-04-30T00:00:00"/>
    <x v="1"/>
    <x v="1"/>
    <x v="1"/>
    <x v="1"/>
    <x v="1"/>
    <n v="1"/>
    <n v="0"/>
    <n v="0"/>
    <n v="0"/>
    <n v="0"/>
    <n v="0"/>
    <n v="0"/>
    <n v="0"/>
    <m/>
    <n v="55.5"/>
  </r>
  <r>
    <s v="USR-101360"/>
    <d v="2025-01-07T00:00:00"/>
    <x v="1"/>
    <x v="3"/>
    <x v="1"/>
    <x v="4"/>
    <x v="0"/>
    <n v="0"/>
    <n v="0"/>
    <n v="0"/>
    <n v="0"/>
    <n v="0"/>
    <n v="0"/>
    <n v="0"/>
    <n v="0"/>
    <m/>
    <n v="50.5"/>
  </r>
  <r>
    <s v="USR-101361"/>
    <d v="2025-04-30T00:00:00"/>
    <x v="1"/>
    <x v="0"/>
    <x v="1"/>
    <x v="4"/>
    <x v="0"/>
    <n v="1"/>
    <n v="0"/>
    <n v="0"/>
    <n v="0"/>
    <n v="0"/>
    <n v="0"/>
    <n v="0"/>
    <n v="0"/>
    <m/>
    <n v="45.3"/>
  </r>
  <r>
    <s v="USR-101362"/>
    <d v="2025-05-23T00:00:00"/>
    <x v="1"/>
    <x v="2"/>
    <x v="1"/>
    <x v="1"/>
    <x v="0"/>
    <n v="1"/>
    <n v="0"/>
    <n v="0"/>
    <n v="0"/>
    <n v="0"/>
    <n v="0"/>
    <n v="0"/>
    <n v="0"/>
    <m/>
    <n v="33.6"/>
  </r>
  <r>
    <s v="USR-101363"/>
    <d v="2025-03-12T00:00:00"/>
    <x v="1"/>
    <x v="3"/>
    <x v="1"/>
    <x v="2"/>
    <x v="2"/>
    <n v="1"/>
    <n v="1"/>
    <n v="1"/>
    <n v="0"/>
    <n v="0"/>
    <n v="0"/>
    <n v="0"/>
    <n v="0"/>
    <m/>
    <n v="88.2"/>
  </r>
  <r>
    <s v="USR-101364"/>
    <d v="2025-02-17T00:00:00"/>
    <x v="1"/>
    <x v="0"/>
    <x v="1"/>
    <x v="1"/>
    <x v="2"/>
    <n v="1"/>
    <n v="0"/>
    <n v="0"/>
    <n v="0"/>
    <n v="0"/>
    <n v="0"/>
    <n v="0"/>
    <n v="0"/>
    <m/>
    <n v="51.8"/>
  </r>
  <r>
    <s v="USR-101365"/>
    <d v="2025-05-27T00:00:00"/>
    <x v="1"/>
    <x v="0"/>
    <x v="0"/>
    <x v="1"/>
    <x v="0"/>
    <n v="0"/>
    <n v="0"/>
    <n v="0"/>
    <n v="0"/>
    <n v="0"/>
    <n v="0"/>
    <n v="0"/>
    <n v="0"/>
    <m/>
    <n v="87.9"/>
  </r>
  <r>
    <s v="USR-101366"/>
    <d v="2025-05-10T00:00:00"/>
    <x v="1"/>
    <x v="3"/>
    <x v="1"/>
    <x v="4"/>
    <x v="2"/>
    <n v="1"/>
    <n v="0"/>
    <n v="0"/>
    <n v="0"/>
    <n v="0"/>
    <n v="2"/>
    <n v="1"/>
    <n v="0"/>
    <m/>
    <n v="70.5"/>
  </r>
  <r>
    <s v="USR-101367"/>
    <d v="2025-01-20T00:00:00"/>
    <x v="1"/>
    <x v="0"/>
    <x v="1"/>
    <x v="1"/>
    <x v="0"/>
    <n v="1"/>
    <n v="1"/>
    <n v="0"/>
    <n v="0"/>
    <n v="0"/>
    <n v="2"/>
    <n v="1"/>
    <n v="0"/>
    <m/>
    <n v="58.5"/>
  </r>
  <r>
    <s v="USR-101368"/>
    <d v="2025-01-19T00:00:00"/>
    <x v="1"/>
    <x v="2"/>
    <x v="1"/>
    <x v="3"/>
    <x v="1"/>
    <n v="1"/>
    <n v="0"/>
    <n v="0"/>
    <n v="0"/>
    <n v="0"/>
    <n v="0"/>
    <n v="0"/>
    <n v="0"/>
    <m/>
    <n v="65.599999999999994"/>
  </r>
  <r>
    <s v="USR-101369"/>
    <d v="2025-03-07T00:00:00"/>
    <x v="1"/>
    <x v="1"/>
    <x v="0"/>
    <x v="2"/>
    <x v="0"/>
    <n v="1"/>
    <n v="1"/>
    <n v="0"/>
    <n v="0"/>
    <n v="0"/>
    <n v="0"/>
    <n v="0"/>
    <n v="0"/>
    <m/>
    <n v="62.7"/>
  </r>
  <r>
    <s v="USR-101370"/>
    <d v="2025-02-02T00:00:00"/>
    <x v="1"/>
    <x v="2"/>
    <x v="1"/>
    <x v="1"/>
    <x v="1"/>
    <n v="0"/>
    <n v="0"/>
    <n v="0"/>
    <n v="0"/>
    <n v="0"/>
    <n v="1"/>
    <n v="1"/>
    <n v="0"/>
    <m/>
    <n v="50.9"/>
  </r>
  <r>
    <s v="USR-101371"/>
    <d v="2025-03-07T00:00:00"/>
    <x v="1"/>
    <x v="0"/>
    <x v="1"/>
    <x v="1"/>
    <x v="1"/>
    <n v="0"/>
    <n v="0"/>
    <n v="0"/>
    <n v="0"/>
    <n v="0"/>
    <n v="1"/>
    <n v="1"/>
    <n v="0"/>
    <m/>
    <n v="60.6"/>
  </r>
  <r>
    <s v="USR-101372"/>
    <d v="2025-03-30T00:00:00"/>
    <x v="1"/>
    <x v="2"/>
    <x v="0"/>
    <x v="1"/>
    <x v="1"/>
    <n v="1"/>
    <n v="1"/>
    <n v="1"/>
    <n v="0"/>
    <n v="0"/>
    <n v="0"/>
    <n v="0"/>
    <n v="0"/>
    <m/>
    <n v="76.599999999999994"/>
  </r>
  <r>
    <s v="USR-101373"/>
    <d v="2025-05-05T00:00:00"/>
    <x v="1"/>
    <x v="2"/>
    <x v="0"/>
    <x v="2"/>
    <x v="1"/>
    <n v="1"/>
    <n v="1"/>
    <n v="1"/>
    <n v="0"/>
    <n v="0"/>
    <n v="0"/>
    <n v="0"/>
    <n v="0"/>
    <m/>
    <n v="54.4"/>
  </r>
  <r>
    <s v="USR-101374"/>
    <d v="2025-04-11T00:00:00"/>
    <x v="1"/>
    <x v="3"/>
    <x v="1"/>
    <x v="4"/>
    <x v="1"/>
    <n v="1"/>
    <n v="0"/>
    <n v="0"/>
    <n v="0"/>
    <n v="0"/>
    <n v="0"/>
    <n v="0"/>
    <n v="0"/>
    <m/>
    <n v="31.2"/>
  </r>
  <r>
    <s v="USR-101375"/>
    <d v="2025-03-25T00:00:00"/>
    <x v="1"/>
    <x v="1"/>
    <x v="0"/>
    <x v="0"/>
    <x v="2"/>
    <n v="1"/>
    <n v="0"/>
    <n v="0"/>
    <n v="0"/>
    <n v="0"/>
    <n v="0"/>
    <n v="0"/>
    <n v="0"/>
    <m/>
    <n v="72.400000000000006"/>
  </r>
  <r>
    <s v="USR-101376"/>
    <d v="2025-03-24T00:00:00"/>
    <x v="1"/>
    <x v="0"/>
    <x v="1"/>
    <x v="1"/>
    <x v="2"/>
    <n v="1"/>
    <n v="0"/>
    <n v="0"/>
    <n v="0"/>
    <n v="0"/>
    <n v="0"/>
    <n v="0"/>
    <n v="0"/>
    <m/>
    <n v="74.5"/>
  </r>
  <r>
    <s v="USR-101377"/>
    <d v="2025-04-27T00:00:00"/>
    <x v="1"/>
    <x v="2"/>
    <x v="1"/>
    <x v="1"/>
    <x v="0"/>
    <n v="0"/>
    <n v="0"/>
    <n v="0"/>
    <n v="0"/>
    <n v="0"/>
    <n v="0"/>
    <n v="0"/>
    <n v="0"/>
    <m/>
    <n v="52.6"/>
  </r>
  <r>
    <s v="USR-101378"/>
    <d v="2025-01-25T00:00:00"/>
    <x v="1"/>
    <x v="0"/>
    <x v="0"/>
    <x v="2"/>
    <x v="1"/>
    <n v="1"/>
    <n v="0"/>
    <n v="0"/>
    <n v="0"/>
    <n v="0"/>
    <n v="0"/>
    <n v="0"/>
    <n v="0"/>
    <m/>
    <n v="75.400000000000006"/>
  </r>
  <r>
    <s v="USR-101379"/>
    <d v="2025-02-17T00:00:00"/>
    <x v="1"/>
    <x v="0"/>
    <x v="2"/>
    <x v="4"/>
    <x v="0"/>
    <n v="1"/>
    <n v="1"/>
    <n v="1"/>
    <n v="1"/>
    <n v="751.33"/>
    <n v="0"/>
    <n v="0"/>
    <n v="0"/>
    <n v="9"/>
    <n v="34"/>
  </r>
  <r>
    <s v="USR-101380"/>
    <d v="2025-04-13T00:00:00"/>
    <x v="1"/>
    <x v="3"/>
    <x v="0"/>
    <x v="1"/>
    <x v="1"/>
    <n v="1"/>
    <n v="0"/>
    <n v="0"/>
    <n v="0"/>
    <n v="0"/>
    <n v="0"/>
    <n v="0"/>
    <n v="0"/>
    <m/>
    <n v="67.099999999999994"/>
  </r>
  <r>
    <s v="USR-101381"/>
    <d v="2025-05-03T00:00:00"/>
    <x v="1"/>
    <x v="1"/>
    <x v="0"/>
    <x v="2"/>
    <x v="2"/>
    <n v="1"/>
    <n v="0"/>
    <n v="0"/>
    <n v="0"/>
    <n v="0"/>
    <n v="0"/>
    <n v="0"/>
    <n v="0"/>
    <m/>
    <n v="37.299999999999997"/>
  </r>
  <r>
    <s v="USR-101382"/>
    <d v="2025-04-29T00:00:00"/>
    <x v="1"/>
    <x v="1"/>
    <x v="1"/>
    <x v="0"/>
    <x v="1"/>
    <n v="1"/>
    <n v="0"/>
    <n v="0"/>
    <n v="0"/>
    <n v="0"/>
    <n v="0"/>
    <n v="0"/>
    <n v="0"/>
    <m/>
    <n v="54.7"/>
  </r>
  <r>
    <s v="USR-101383"/>
    <d v="2025-05-03T00:00:00"/>
    <x v="1"/>
    <x v="2"/>
    <x v="0"/>
    <x v="2"/>
    <x v="1"/>
    <n v="1"/>
    <n v="0"/>
    <n v="0"/>
    <n v="0"/>
    <n v="0"/>
    <n v="0"/>
    <n v="0"/>
    <n v="0"/>
    <m/>
    <n v="51.8"/>
  </r>
  <r>
    <s v="USR-101384"/>
    <d v="2025-04-28T00:00:00"/>
    <x v="1"/>
    <x v="1"/>
    <x v="1"/>
    <x v="2"/>
    <x v="1"/>
    <n v="0"/>
    <n v="0"/>
    <n v="0"/>
    <n v="0"/>
    <n v="0"/>
    <n v="0"/>
    <n v="0"/>
    <n v="0"/>
    <m/>
    <n v="49.2"/>
  </r>
  <r>
    <s v="USR-101385"/>
    <d v="2025-01-21T00:00:00"/>
    <x v="1"/>
    <x v="1"/>
    <x v="1"/>
    <x v="1"/>
    <x v="1"/>
    <n v="1"/>
    <n v="0"/>
    <n v="0"/>
    <n v="0"/>
    <n v="0"/>
    <n v="2"/>
    <n v="1"/>
    <n v="0"/>
    <m/>
    <n v="58.8"/>
  </r>
  <r>
    <s v="USR-101386"/>
    <d v="2025-01-21T00:00:00"/>
    <x v="1"/>
    <x v="0"/>
    <x v="2"/>
    <x v="2"/>
    <x v="0"/>
    <n v="0"/>
    <n v="0"/>
    <n v="0"/>
    <n v="0"/>
    <n v="0"/>
    <n v="1"/>
    <n v="1"/>
    <n v="0"/>
    <m/>
    <n v="59.1"/>
  </r>
  <r>
    <s v="USR-101387"/>
    <d v="2025-05-21T00:00:00"/>
    <x v="1"/>
    <x v="1"/>
    <x v="0"/>
    <x v="2"/>
    <x v="1"/>
    <n v="1"/>
    <n v="0"/>
    <n v="0"/>
    <n v="0"/>
    <n v="0"/>
    <n v="2"/>
    <n v="1"/>
    <n v="0"/>
    <m/>
    <n v="49.6"/>
  </r>
  <r>
    <s v="USR-101388"/>
    <d v="2025-01-05T00:00:00"/>
    <x v="1"/>
    <x v="0"/>
    <x v="1"/>
    <x v="3"/>
    <x v="1"/>
    <n v="0"/>
    <n v="0"/>
    <n v="0"/>
    <n v="0"/>
    <n v="0"/>
    <n v="0"/>
    <n v="0"/>
    <n v="0"/>
    <m/>
    <n v="58.2"/>
  </r>
  <r>
    <s v="USR-101389"/>
    <d v="2025-03-06T00:00:00"/>
    <x v="1"/>
    <x v="3"/>
    <x v="0"/>
    <x v="1"/>
    <x v="1"/>
    <n v="1"/>
    <n v="0"/>
    <n v="0"/>
    <n v="0"/>
    <n v="0"/>
    <n v="0"/>
    <n v="0"/>
    <n v="0"/>
    <m/>
    <n v="66.8"/>
  </r>
  <r>
    <s v="USR-101390"/>
    <d v="2025-04-18T00:00:00"/>
    <x v="1"/>
    <x v="0"/>
    <x v="1"/>
    <x v="2"/>
    <x v="1"/>
    <n v="1"/>
    <n v="0"/>
    <n v="0"/>
    <n v="0"/>
    <n v="0"/>
    <n v="3"/>
    <n v="1"/>
    <n v="0"/>
    <m/>
    <n v="58.3"/>
  </r>
  <r>
    <s v="USR-101391"/>
    <d v="2025-04-15T00:00:00"/>
    <x v="1"/>
    <x v="1"/>
    <x v="1"/>
    <x v="1"/>
    <x v="0"/>
    <n v="1"/>
    <n v="1"/>
    <n v="1"/>
    <n v="0"/>
    <n v="0"/>
    <n v="0"/>
    <n v="0"/>
    <n v="0"/>
    <m/>
    <n v="38.5"/>
  </r>
  <r>
    <s v="USR-101392"/>
    <d v="2025-02-10T00:00:00"/>
    <x v="1"/>
    <x v="2"/>
    <x v="1"/>
    <x v="2"/>
    <x v="1"/>
    <n v="1"/>
    <n v="0"/>
    <n v="0"/>
    <n v="0"/>
    <n v="0"/>
    <n v="0"/>
    <n v="0"/>
    <n v="0"/>
    <m/>
    <n v="76.900000000000006"/>
  </r>
  <r>
    <s v="USR-101393"/>
    <d v="2025-05-08T00:00:00"/>
    <x v="1"/>
    <x v="2"/>
    <x v="1"/>
    <x v="1"/>
    <x v="1"/>
    <n v="1"/>
    <n v="0"/>
    <n v="0"/>
    <n v="0"/>
    <n v="0"/>
    <n v="0"/>
    <n v="0"/>
    <n v="0"/>
    <m/>
    <n v="54"/>
  </r>
  <r>
    <s v="USR-101394"/>
    <d v="2025-05-28T00:00:00"/>
    <x v="1"/>
    <x v="2"/>
    <x v="2"/>
    <x v="1"/>
    <x v="1"/>
    <n v="1"/>
    <n v="0"/>
    <n v="0"/>
    <n v="0"/>
    <n v="0"/>
    <n v="0"/>
    <n v="0"/>
    <n v="0"/>
    <m/>
    <n v="70.599999999999994"/>
  </r>
  <r>
    <s v="USR-101395"/>
    <d v="2025-04-25T00:00:00"/>
    <x v="1"/>
    <x v="0"/>
    <x v="2"/>
    <x v="3"/>
    <x v="2"/>
    <n v="1"/>
    <n v="1"/>
    <n v="1"/>
    <n v="0"/>
    <n v="0"/>
    <n v="1"/>
    <n v="1"/>
    <n v="0"/>
    <m/>
    <n v="69.400000000000006"/>
  </r>
  <r>
    <s v="USR-101396"/>
    <d v="2025-02-11T00:00:00"/>
    <x v="1"/>
    <x v="3"/>
    <x v="1"/>
    <x v="5"/>
    <x v="2"/>
    <n v="1"/>
    <n v="1"/>
    <n v="1"/>
    <n v="1"/>
    <n v="1009.9"/>
    <n v="0"/>
    <n v="0"/>
    <n v="0"/>
    <n v="6"/>
    <n v="89.7"/>
  </r>
  <r>
    <s v="USR-101397"/>
    <d v="2025-04-14T00:00:00"/>
    <x v="1"/>
    <x v="1"/>
    <x v="1"/>
    <x v="1"/>
    <x v="1"/>
    <n v="1"/>
    <n v="0"/>
    <n v="0"/>
    <n v="0"/>
    <n v="0"/>
    <n v="0"/>
    <n v="0"/>
    <n v="0"/>
    <m/>
    <n v="62.4"/>
  </r>
  <r>
    <s v="USR-101398"/>
    <d v="2025-02-04T00:00:00"/>
    <x v="1"/>
    <x v="1"/>
    <x v="2"/>
    <x v="1"/>
    <x v="2"/>
    <n v="0"/>
    <n v="0"/>
    <n v="0"/>
    <n v="0"/>
    <n v="0"/>
    <n v="0"/>
    <n v="0"/>
    <n v="0"/>
    <m/>
    <n v="67.3"/>
  </r>
  <r>
    <s v="USR-101399"/>
    <d v="2025-03-22T00:00:00"/>
    <x v="1"/>
    <x v="2"/>
    <x v="1"/>
    <x v="3"/>
    <x v="1"/>
    <n v="1"/>
    <n v="0"/>
    <n v="0"/>
    <n v="0"/>
    <n v="0"/>
    <n v="0"/>
    <n v="0"/>
    <n v="0"/>
    <m/>
    <n v="54.9"/>
  </r>
  <r>
    <s v="USR-101400"/>
    <d v="2025-04-18T00:00:00"/>
    <x v="1"/>
    <x v="2"/>
    <x v="0"/>
    <x v="4"/>
    <x v="1"/>
    <n v="0"/>
    <n v="0"/>
    <n v="0"/>
    <n v="0"/>
    <n v="0"/>
    <n v="0"/>
    <n v="0"/>
    <n v="0"/>
    <m/>
    <n v="55.7"/>
  </r>
  <r>
    <m/>
    <m/>
    <x v="2"/>
    <x v="4"/>
    <x v="4"/>
    <x v="6"/>
    <x v="3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x v="0"/>
    <n v="0"/>
    <n v="0"/>
    <n v="0"/>
    <n v="0"/>
    <n v="0"/>
    <n v="0"/>
    <n v="0"/>
    <n v="0"/>
    <n v="0"/>
    <m/>
    <n v="45.7"/>
  </r>
  <r>
    <s v="USR-100002"/>
    <d v="2025-03-08T00:00:00"/>
    <x v="0"/>
    <x v="1"/>
    <x v="1"/>
    <x v="1"/>
    <x v="1"/>
    <n v="1"/>
    <n v="0"/>
    <n v="0"/>
    <n v="0"/>
    <n v="0"/>
    <n v="0"/>
    <n v="0"/>
    <n v="0"/>
    <n v="0"/>
    <m/>
    <n v="48.6"/>
  </r>
  <r>
    <s v="USR-100003"/>
    <d v="2025-04-24T00:00:00"/>
    <x v="0"/>
    <x v="2"/>
    <x v="1"/>
    <x v="2"/>
    <x v="2"/>
    <n v="1"/>
    <n v="0"/>
    <n v="0"/>
    <n v="0"/>
    <n v="0"/>
    <n v="0"/>
    <n v="1"/>
    <n v="1"/>
    <n v="0"/>
    <m/>
    <n v="35.4"/>
  </r>
  <r>
    <s v="USR-100004"/>
    <d v="2025-05-04T00:00:00"/>
    <x v="0"/>
    <x v="3"/>
    <x v="1"/>
    <x v="0"/>
    <x v="0"/>
    <n v="1"/>
    <n v="0"/>
    <n v="0"/>
    <n v="0"/>
    <n v="0"/>
    <n v="0"/>
    <n v="0"/>
    <n v="0"/>
    <n v="0"/>
    <m/>
    <n v="64.599999999999994"/>
  </r>
  <r>
    <s v="USR-100005"/>
    <d v="2025-02-12T00:00:00"/>
    <x v="0"/>
    <x v="0"/>
    <x v="2"/>
    <x v="1"/>
    <x v="1"/>
    <n v="0"/>
    <n v="0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x v="2"/>
    <n v="1"/>
    <n v="0"/>
    <n v="0"/>
    <n v="0"/>
    <n v="0"/>
    <n v="0"/>
    <n v="0"/>
    <n v="0"/>
    <n v="0"/>
    <m/>
    <n v="40.799999999999997"/>
  </r>
  <r>
    <s v="USR-100007"/>
    <d v="2025-04-08T00:00:00"/>
    <x v="0"/>
    <x v="2"/>
    <x v="1"/>
    <x v="2"/>
    <x v="0"/>
    <n v="1"/>
    <n v="1"/>
    <n v="0"/>
    <n v="0"/>
    <n v="0"/>
    <n v="0"/>
    <n v="0"/>
    <n v="0"/>
    <n v="0"/>
    <m/>
    <n v="57.1"/>
  </r>
  <r>
    <s v="USR-100008"/>
    <d v="2025-05-17T00:00:00"/>
    <x v="0"/>
    <x v="3"/>
    <x v="1"/>
    <x v="2"/>
    <x v="1"/>
    <n v="0"/>
    <n v="0"/>
    <n v="0"/>
    <n v="0"/>
    <n v="0"/>
    <n v="0"/>
    <n v="0"/>
    <n v="0"/>
    <n v="0"/>
    <m/>
    <n v="36.4"/>
  </r>
  <r>
    <s v="USR-100009"/>
    <d v="2025-02-23T00:00:00"/>
    <x v="0"/>
    <x v="3"/>
    <x v="2"/>
    <x v="3"/>
    <x v="0"/>
    <n v="0"/>
    <n v="0"/>
    <n v="0"/>
    <n v="0"/>
    <n v="0"/>
    <n v="0"/>
    <n v="0"/>
    <n v="0"/>
    <n v="0"/>
    <m/>
    <n v="55.4"/>
  </r>
  <r>
    <s v="USR-100010"/>
    <d v="2025-05-29T00:00:00"/>
    <x v="0"/>
    <x v="1"/>
    <x v="0"/>
    <x v="4"/>
    <x v="1"/>
    <n v="1"/>
    <n v="0"/>
    <n v="0"/>
    <n v="0"/>
    <n v="0"/>
    <n v="0"/>
    <n v="0"/>
    <n v="0"/>
    <n v="0"/>
    <m/>
    <n v="57.3"/>
  </r>
  <r>
    <s v="USR-100011"/>
    <d v="2025-04-30T00:00:00"/>
    <x v="0"/>
    <x v="2"/>
    <x v="1"/>
    <x v="2"/>
    <x v="0"/>
    <n v="1"/>
    <n v="1"/>
    <n v="1"/>
    <n v="0"/>
    <n v="0"/>
    <n v="0"/>
    <n v="0"/>
    <n v="0"/>
    <n v="0"/>
    <m/>
    <n v="63.6"/>
  </r>
  <r>
    <s v="USR-100012"/>
    <d v="2025-03-16T00:00:00"/>
    <x v="0"/>
    <x v="2"/>
    <x v="1"/>
    <x v="4"/>
    <x v="2"/>
    <n v="1"/>
    <n v="1"/>
    <n v="1"/>
    <n v="0"/>
    <n v="0"/>
    <n v="0"/>
    <n v="1"/>
    <n v="1"/>
    <n v="0"/>
    <m/>
    <n v="80.400000000000006"/>
  </r>
  <r>
    <s v="USR-100013"/>
    <d v="2025-02-07T00:00:00"/>
    <x v="0"/>
    <x v="3"/>
    <x v="0"/>
    <x v="0"/>
    <x v="0"/>
    <n v="1"/>
    <n v="0"/>
    <n v="0"/>
    <n v="0"/>
    <n v="0"/>
    <n v="0"/>
    <n v="0"/>
    <n v="0"/>
    <n v="0"/>
    <m/>
    <n v="62.4"/>
  </r>
  <r>
    <s v="USR-100014"/>
    <d v="2025-03-02T00:00:00"/>
    <x v="0"/>
    <x v="1"/>
    <x v="1"/>
    <x v="4"/>
    <x v="0"/>
    <n v="1"/>
    <n v="0"/>
    <n v="0"/>
    <n v="0"/>
    <n v="0"/>
    <n v="0"/>
    <n v="0"/>
    <n v="0"/>
    <n v="0"/>
    <m/>
    <n v="82.4"/>
  </r>
  <r>
    <s v="USR-100015"/>
    <d v="2025-05-30T00:00:00"/>
    <x v="0"/>
    <x v="3"/>
    <x v="1"/>
    <x v="1"/>
    <x v="0"/>
    <n v="0"/>
    <n v="0"/>
    <n v="0"/>
    <n v="0"/>
    <n v="0"/>
    <n v="0"/>
    <n v="0"/>
    <n v="0"/>
    <n v="0"/>
    <m/>
    <n v="61.2"/>
  </r>
  <r>
    <s v="USR-100016"/>
    <d v="2025-03-25T00:00:00"/>
    <x v="0"/>
    <x v="3"/>
    <x v="1"/>
    <x v="4"/>
    <x v="0"/>
    <n v="1"/>
    <n v="0"/>
    <n v="0"/>
    <n v="0"/>
    <n v="0"/>
    <n v="0"/>
    <n v="0"/>
    <n v="0"/>
    <n v="0"/>
    <m/>
    <n v="68.900000000000006"/>
  </r>
  <r>
    <s v="USR-100017"/>
    <d v="2025-03-27T00:00:00"/>
    <x v="0"/>
    <x v="2"/>
    <x v="0"/>
    <x v="2"/>
    <x v="1"/>
    <n v="1"/>
    <n v="1"/>
    <n v="1"/>
    <n v="0"/>
    <n v="0"/>
    <n v="0"/>
    <n v="0"/>
    <n v="0"/>
    <n v="0"/>
    <m/>
    <n v="71.900000000000006"/>
  </r>
  <r>
    <s v="USR-100018"/>
    <d v="2025-05-28T00:00:00"/>
    <x v="0"/>
    <x v="3"/>
    <x v="0"/>
    <x v="2"/>
    <x v="1"/>
    <n v="0"/>
    <n v="0"/>
    <n v="0"/>
    <n v="0"/>
    <n v="0"/>
    <n v="0"/>
    <n v="0"/>
    <n v="0"/>
    <n v="0"/>
    <m/>
    <n v="50.5"/>
  </r>
  <r>
    <s v="USR-100019"/>
    <d v="2025-02-15T00:00:00"/>
    <x v="0"/>
    <x v="0"/>
    <x v="0"/>
    <x v="2"/>
    <x v="0"/>
    <n v="0"/>
    <n v="0"/>
    <n v="0"/>
    <n v="0"/>
    <n v="0"/>
    <n v="0"/>
    <n v="0"/>
    <n v="0"/>
    <n v="0"/>
    <m/>
    <n v="49.3"/>
  </r>
  <r>
    <s v="USR-100020"/>
    <d v="2025-05-05T00:00:00"/>
    <x v="0"/>
    <x v="1"/>
    <x v="0"/>
    <x v="1"/>
    <x v="0"/>
    <n v="0"/>
    <n v="0"/>
    <n v="0"/>
    <n v="0"/>
    <n v="0"/>
    <n v="0"/>
    <n v="2"/>
    <n v="1"/>
    <n v="0"/>
    <m/>
    <n v="60.9"/>
  </r>
  <r>
    <s v="USR-100021"/>
    <d v="2025-04-13T00:00:00"/>
    <x v="0"/>
    <x v="2"/>
    <x v="1"/>
    <x v="4"/>
    <x v="1"/>
    <n v="1"/>
    <n v="0"/>
    <n v="0"/>
    <n v="0"/>
    <n v="0"/>
    <n v="0"/>
    <n v="0"/>
    <n v="0"/>
    <n v="0"/>
    <m/>
    <n v="62.7"/>
  </r>
  <r>
    <s v="USR-100022"/>
    <d v="2025-05-07T00:00:00"/>
    <x v="0"/>
    <x v="0"/>
    <x v="0"/>
    <x v="2"/>
    <x v="1"/>
    <n v="0"/>
    <n v="0"/>
    <n v="0"/>
    <n v="0"/>
    <n v="0"/>
    <n v="0"/>
    <n v="0"/>
    <n v="0"/>
    <n v="0"/>
    <m/>
    <n v="52.7"/>
  </r>
  <r>
    <s v="USR-100023"/>
    <d v="2025-05-25T00:00:00"/>
    <x v="0"/>
    <x v="0"/>
    <x v="0"/>
    <x v="1"/>
    <x v="1"/>
    <n v="0"/>
    <n v="0"/>
    <n v="0"/>
    <n v="0"/>
    <n v="0"/>
    <n v="0"/>
    <n v="0"/>
    <n v="0"/>
    <n v="0"/>
    <m/>
    <n v="54"/>
  </r>
  <r>
    <s v="USR-100024"/>
    <d v="2025-04-01T00:00:00"/>
    <x v="0"/>
    <x v="2"/>
    <x v="1"/>
    <x v="2"/>
    <x v="2"/>
    <n v="1"/>
    <n v="1"/>
    <n v="0"/>
    <n v="0"/>
    <n v="0"/>
    <n v="0"/>
    <n v="0"/>
    <n v="0"/>
    <n v="0"/>
    <m/>
    <n v="51.6"/>
  </r>
  <r>
    <s v="USR-100025"/>
    <d v="2025-02-22T00:00:00"/>
    <x v="0"/>
    <x v="0"/>
    <x v="1"/>
    <x v="2"/>
    <x v="2"/>
    <n v="0"/>
    <n v="0"/>
    <n v="0"/>
    <n v="0"/>
    <n v="0"/>
    <n v="0"/>
    <n v="2"/>
    <n v="1"/>
    <n v="0"/>
    <m/>
    <n v="66.900000000000006"/>
  </r>
  <r>
    <s v="USR-100026"/>
    <d v="2025-03-24T00:00:00"/>
    <x v="0"/>
    <x v="2"/>
    <x v="1"/>
    <x v="1"/>
    <x v="0"/>
    <n v="0"/>
    <n v="0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x v="1"/>
    <n v="0"/>
    <n v="0"/>
    <n v="0"/>
    <n v="0"/>
    <n v="0"/>
    <n v="0"/>
    <n v="0"/>
    <n v="0"/>
    <n v="0"/>
    <m/>
    <n v="58.8"/>
  </r>
  <r>
    <s v="USR-100028"/>
    <d v="2025-05-30T00:00:00"/>
    <x v="0"/>
    <x v="3"/>
    <x v="1"/>
    <x v="1"/>
    <x v="1"/>
    <n v="1"/>
    <n v="0"/>
    <n v="0"/>
    <n v="0"/>
    <n v="0"/>
    <n v="0"/>
    <n v="0"/>
    <n v="0"/>
    <n v="0"/>
    <m/>
    <n v="73.8"/>
  </r>
  <r>
    <s v="USR-100029"/>
    <d v="2025-01-20T00:00:00"/>
    <x v="0"/>
    <x v="2"/>
    <x v="2"/>
    <x v="1"/>
    <x v="0"/>
    <n v="0"/>
    <n v="0"/>
    <n v="0"/>
    <n v="0"/>
    <n v="0"/>
    <n v="0"/>
    <n v="0"/>
    <n v="0"/>
    <n v="0"/>
    <m/>
    <n v="60.1"/>
  </r>
  <r>
    <s v="USR-100030"/>
    <d v="2025-05-19T00:00:00"/>
    <x v="0"/>
    <x v="2"/>
    <x v="1"/>
    <x v="4"/>
    <x v="0"/>
    <n v="1"/>
    <n v="1"/>
    <n v="1"/>
    <n v="0"/>
    <n v="0"/>
    <n v="0"/>
    <n v="0"/>
    <n v="0"/>
    <n v="0"/>
    <m/>
    <n v="41"/>
  </r>
  <r>
    <s v="USR-100031"/>
    <d v="2025-02-18T00:00:00"/>
    <x v="0"/>
    <x v="3"/>
    <x v="1"/>
    <x v="1"/>
    <x v="0"/>
    <n v="1"/>
    <n v="0"/>
    <n v="0"/>
    <n v="0"/>
    <n v="0"/>
    <n v="0"/>
    <n v="0"/>
    <n v="0"/>
    <n v="0"/>
    <m/>
    <n v="80.3"/>
  </r>
  <r>
    <s v="USR-100032"/>
    <d v="2025-02-13T00:00:00"/>
    <x v="0"/>
    <x v="2"/>
    <x v="1"/>
    <x v="1"/>
    <x v="1"/>
    <n v="0"/>
    <n v="0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x v="2"/>
    <n v="0"/>
    <n v="0"/>
    <n v="0"/>
    <n v="0"/>
    <n v="0"/>
    <n v="0"/>
    <n v="0"/>
    <n v="0"/>
    <n v="0"/>
    <m/>
    <n v="64"/>
  </r>
  <r>
    <s v="USR-100034"/>
    <d v="2025-01-11T00:00:00"/>
    <x v="0"/>
    <x v="0"/>
    <x v="1"/>
    <x v="2"/>
    <x v="1"/>
    <n v="1"/>
    <n v="1"/>
    <n v="0"/>
    <n v="0"/>
    <n v="0"/>
    <n v="0"/>
    <n v="0"/>
    <n v="0"/>
    <n v="0"/>
    <m/>
    <n v="27.2"/>
  </r>
  <r>
    <s v="USR-100035"/>
    <d v="2025-02-12T00:00:00"/>
    <x v="0"/>
    <x v="0"/>
    <x v="0"/>
    <x v="1"/>
    <x v="1"/>
    <n v="1"/>
    <n v="0"/>
    <n v="0"/>
    <n v="0"/>
    <n v="0"/>
    <n v="0"/>
    <n v="0"/>
    <n v="0"/>
    <n v="0"/>
    <m/>
    <n v="85.4"/>
  </r>
  <r>
    <s v="USR-100036"/>
    <d v="2025-04-13T00:00:00"/>
    <x v="0"/>
    <x v="2"/>
    <x v="0"/>
    <x v="1"/>
    <x v="0"/>
    <n v="1"/>
    <n v="0"/>
    <n v="0"/>
    <n v="0"/>
    <n v="0"/>
    <n v="0"/>
    <n v="0"/>
    <n v="0"/>
    <n v="0"/>
    <m/>
    <n v="75.900000000000006"/>
  </r>
  <r>
    <s v="USR-100037"/>
    <d v="2025-05-09T00:00:00"/>
    <x v="0"/>
    <x v="2"/>
    <x v="1"/>
    <x v="1"/>
    <x v="2"/>
    <n v="1"/>
    <n v="0"/>
    <n v="0"/>
    <n v="0"/>
    <n v="0"/>
    <n v="0"/>
    <n v="1"/>
    <n v="1"/>
    <n v="0"/>
    <m/>
    <n v="34.799999999999997"/>
  </r>
  <r>
    <s v="USR-100038"/>
    <d v="2025-01-20T00:00:00"/>
    <x v="0"/>
    <x v="2"/>
    <x v="1"/>
    <x v="1"/>
    <x v="1"/>
    <n v="1"/>
    <n v="1"/>
    <n v="1"/>
    <n v="0"/>
    <n v="0"/>
    <n v="0"/>
    <n v="3"/>
    <n v="1"/>
    <n v="0"/>
    <m/>
    <n v="48.9"/>
  </r>
  <r>
    <s v="USR-100039"/>
    <d v="2025-05-13T00:00:00"/>
    <x v="0"/>
    <x v="2"/>
    <x v="1"/>
    <x v="0"/>
    <x v="2"/>
    <n v="1"/>
    <n v="0"/>
    <n v="0"/>
    <n v="0"/>
    <n v="0"/>
    <n v="0"/>
    <n v="0"/>
    <n v="0"/>
    <n v="0"/>
    <m/>
    <n v="41.5"/>
  </r>
  <r>
    <s v="USR-100040"/>
    <d v="2025-04-07T00:00:00"/>
    <x v="0"/>
    <x v="0"/>
    <x v="0"/>
    <x v="1"/>
    <x v="0"/>
    <n v="1"/>
    <n v="0"/>
    <n v="0"/>
    <n v="0"/>
    <n v="0"/>
    <n v="0"/>
    <n v="0"/>
    <n v="0"/>
    <n v="0"/>
    <m/>
    <n v="51.5"/>
  </r>
  <r>
    <s v="USR-100041"/>
    <d v="2025-03-31T00:00:00"/>
    <x v="0"/>
    <x v="0"/>
    <x v="0"/>
    <x v="1"/>
    <x v="1"/>
    <n v="0"/>
    <n v="0"/>
    <n v="0"/>
    <n v="0"/>
    <n v="0"/>
    <n v="0"/>
    <n v="0"/>
    <n v="0"/>
    <n v="0"/>
    <m/>
    <n v="53.2"/>
  </r>
  <r>
    <s v="USR-100042"/>
    <d v="2025-01-25T00:00:00"/>
    <x v="0"/>
    <x v="2"/>
    <x v="1"/>
    <x v="0"/>
    <x v="2"/>
    <n v="0"/>
    <n v="0"/>
    <n v="0"/>
    <n v="0"/>
    <n v="0"/>
    <n v="0"/>
    <n v="0"/>
    <n v="0"/>
    <n v="0"/>
    <m/>
    <n v="55.6"/>
  </r>
  <r>
    <s v="USR-100043"/>
    <d v="2025-02-14T00:00:00"/>
    <x v="0"/>
    <x v="3"/>
    <x v="0"/>
    <x v="1"/>
    <x v="1"/>
    <n v="0"/>
    <n v="0"/>
    <n v="0"/>
    <n v="0"/>
    <n v="0"/>
    <n v="0"/>
    <n v="0"/>
    <n v="0"/>
    <n v="0"/>
    <m/>
    <n v="73"/>
  </r>
  <r>
    <s v="USR-100044"/>
    <d v="2025-02-27T00:00:00"/>
    <x v="0"/>
    <x v="2"/>
    <x v="1"/>
    <x v="0"/>
    <x v="1"/>
    <n v="1"/>
    <n v="0"/>
    <n v="0"/>
    <n v="0"/>
    <n v="0"/>
    <n v="0"/>
    <n v="0"/>
    <n v="0"/>
    <n v="0"/>
    <m/>
    <n v="65"/>
  </r>
  <r>
    <s v="USR-100045"/>
    <d v="2025-03-28T00:00:00"/>
    <x v="0"/>
    <x v="2"/>
    <x v="1"/>
    <x v="4"/>
    <x v="1"/>
    <n v="1"/>
    <n v="0"/>
    <n v="0"/>
    <n v="0"/>
    <n v="0"/>
    <n v="0"/>
    <n v="4"/>
    <n v="1"/>
    <n v="0"/>
    <m/>
    <n v="56.3"/>
  </r>
  <r>
    <s v="USR-100046"/>
    <d v="2025-05-25T00:00:00"/>
    <x v="0"/>
    <x v="2"/>
    <x v="1"/>
    <x v="3"/>
    <x v="2"/>
    <n v="1"/>
    <n v="0"/>
    <n v="0"/>
    <n v="0"/>
    <n v="0"/>
    <n v="0"/>
    <n v="0"/>
    <n v="0"/>
    <n v="0"/>
    <m/>
    <n v="62.4"/>
  </r>
  <r>
    <s v="USR-100047"/>
    <d v="2025-05-05T00:00:00"/>
    <x v="0"/>
    <x v="1"/>
    <x v="0"/>
    <x v="1"/>
    <x v="1"/>
    <n v="1"/>
    <n v="1"/>
    <n v="1"/>
    <n v="0"/>
    <n v="0"/>
    <n v="0"/>
    <n v="0"/>
    <n v="0"/>
    <n v="0"/>
    <m/>
    <n v="58.1"/>
  </r>
  <r>
    <s v="USR-100048"/>
    <d v="2025-05-16T00:00:00"/>
    <x v="0"/>
    <x v="0"/>
    <x v="1"/>
    <x v="1"/>
    <x v="1"/>
    <n v="1"/>
    <n v="1"/>
    <n v="1"/>
    <n v="0"/>
    <n v="0"/>
    <n v="0"/>
    <n v="0"/>
    <n v="0"/>
    <n v="0"/>
    <m/>
    <n v="80.8"/>
  </r>
  <r>
    <s v="USR-100049"/>
    <d v="2025-01-08T00:00:00"/>
    <x v="0"/>
    <x v="0"/>
    <x v="1"/>
    <x v="4"/>
    <x v="1"/>
    <n v="1"/>
    <n v="1"/>
    <n v="0"/>
    <n v="0"/>
    <n v="0"/>
    <n v="0"/>
    <n v="0"/>
    <n v="0"/>
    <n v="0"/>
    <m/>
    <n v="42.9"/>
  </r>
  <r>
    <s v="USR-100050"/>
    <d v="2025-01-06T00:00:00"/>
    <x v="0"/>
    <x v="1"/>
    <x v="0"/>
    <x v="2"/>
    <x v="1"/>
    <n v="1"/>
    <n v="0"/>
    <n v="0"/>
    <n v="0"/>
    <n v="0"/>
    <n v="0"/>
    <n v="0"/>
    <n v="0"/>
    <n v="0"/>
    <m/>
    <n v="52.7"/>
  </r>
  <r>
    <s v="USR-100051"/>
    <d v="2025-01-12T00:00:00"/>
    <x v="0"/>
    <x v="0"/>
    <x v="1"/>
    <x v="4"/>
    <x v="0"/>
    <n v="0"/>
    <n v="0"/>
    <n v="0"/>
    <n v="0"/>
    <n v="0"/>
    <n v="0"/>
    <n v="0"/>
    <n v="0"/>
    <n v="0"/>
    <m/>
    <n v="46.9"/>
  </r>
  <r>
    <s v="USR-100052"/>
    <d v="2025-02-14T00:00:00"/>
    <x v="0"/>
    <x v="2"/>
    <x v="0"/>
    <x v="0"/>
    <x v="2"/>
    <n v="1"/>
    <n v="0"/>
    <n v="0"/>
    <n v="0"/>
    <n v="0"/>
    <n v="0"/>
    <n v="0"/>
    <n v="0"/>
    <n v="0"/>
    <m/>
    <n v="63"/>
  </r>
  <r>
    <s v="USR-100053"/>
    <d v="2025-03-10T00:00:00"/>
    <x v="0"/>
    <x v="3"/>
    <x v="2"/>
    <x v="1"/>
    <x v="1"/>
    <n v="0"/>
    <n v="0"/>
    <n v="0"/>
    <n v="0"/>
    <n v="0"/>
    <n v="0"/>
    <n v="0"/>
    <n v="0"/>
    <n v="0"/>
    <m/>
    <n v="53.6"/>
  </r>
  <r>
    <s v="USR-100054"/>
    <d v="2025-04-20T00:00:00"/>
    <x v="0"/>
    <x v="1"/>
    <x v="0"/>
    <x v="1"/>
    <x v="0"/>
    <n v="0"/>
    <n v="0"/>
    <n v="0"/>
    <n v="0"/>
    <n v="0"/>
    <n v="0"/>
    <n v="0"/>
    <n v="0"/>
    <n v="0"/>
    <m/>
    <n v="49.6"/>
  </r>
  <r>
    <s v="USR-100055"/>
    <d v="2025-02-19T00:00:00"/>
    <x v="0"/>
    <x v="3"/>
    <x v="1"/>
    <x v="1"/>
    <x v="1"/>
    <n v="0"/>
    <n v="0"/>
    <n v="0"/>
    <n v="0"/>
    <n v="0"/>
    <n v="0"/>
    <n v="0"/>
    <n v="0"/>
    <n v="0"/>
    <m/>
    <n v="54"/>
  </r>
  <r>
    <s v="USR-100056"/>
    <d v="2025-05-17T00:00:00"/>
    <x v="0"/>
    <x v="3"/>
    <x v="1"/>
    <x v="4"/>
    <x v="0"/>
    <n v="1"/>
    <n v="0"/>
    <n v="0"/>
    <n v="0"/>
    <n v="0"/>
    <n v="0"/>
    <n v="2"/>
    <n v="1"/>
    <n v="0"/>
    <m/>
    <n v="50"/>
  </r>
  <r>
    <s v="USR-100057"/>
    <d v="2025-04-01T00:00:00"/>
    <x v="0"/>
    <x v="2"/>
    <x v="1"/>
    <x v="4"/>
    <x v="0"/>
    <n v="0"/>
    <n v="0"/>
    <n v="0"/>
    <n v="0"/>
    <n v="0"/>
    <n v="0"/>
    <n v="0"/>
    <n v="0"/>
    <n v="0"/>
    <m/>
    <n v="48.1"/>
  </r>
  <r>
    <s v="USR-100058"/>
    <d v="2025-02-04T00:00:00"/>
    <x v="0"/>
    <x v="0"/>
    <x v="0"/>
    <x v="1"/>
    <x v="1"/>
    <n v="1"/>
    <n v="0"/>
    <n v="0"/>
    <n v="0"/>
    <n v="0"/>
    <n v="0"/>
    <n v="0"/>
    <n v="0"/>
    <n v="0"/>
    <m/>
    <n v="49.6"/>
  </r>
  <r>
    <s v="USR-100059"/>
    <d v="2025-04-14T00:00:00"/>
    <x v="0"/>
    <x v="0"/>
    <x v="1"/>
    <x v="4"/>
    <x v="1"/>
    <n v="0"/>
    <n v="0"/>
    <n v="0"/>
    <n v="0"/>
    <n v="0"/>
    <n v="0"/>
    <n v="2"/>
    <n v="1"/>
    <n v="0"/>
    <m/>
    <n v="48.9"/>
  </r>
  <r>
    <s v="USR-100060"/>
    <d v="2025-01-01T00:00:00"/>
    <x v="0"/>
    <x v="1"/>
    <x v="1"/>
    <x v="4"/>
    <x v="1"/>
    <n v="1"/>
    <n v="1"/>
    <n v="1"/>
    <n v="1"/>
    <n v="240.42"/>
    <n v="240.42"/>
    <n v="0"/>
    <n v="0"/>
    <n v="0"/>
    <n v="16"/>
    <n v="56.5"/>
  </r>
  <r>
    <s v="USR-100061"/>
    <d v="2025-04-02T00:00:00"/>
    <x v="0"/>
    <x v="3"/>
    <x v="1"/>
    <x v="3"/>
    <x v="1"/>
    <n v="1"/>
    <n v="0"/>
    <n v="0"/>
    <n v="0"/>
    <n v="0"/>
    <n v="0"/>
    <n v="0"/>
    <n v="0"/>
    <n v="0"/>
    <m/>
    <n v="53.7"/>
  </r>
  <r>
    <s v="USR-100062"/>
    <d v="2025-03-29T00:00:00"/>
    <x v="0"/>
    <x v="0"/>
    <x v="1"/>
    <x v="4"/>
    <x v="2"/>
    <n v="0"/>
    <n v="0"/>
    <n v="0"/>
    <n v="0"/>
    <n v="0"/>
    <n v="0"/>
    <n v="0"/>
    <n v="0"/>
    <n v="0"/>
    <m/>
    <n v="62.2"/>
  </r>
  <r>
    <s v="USR-100063"/>
    <d v="2025-05-15T00:00:00"/>
    <x v="0"/>
    <x v="3"/>
    <x v="0"/>
    <x v="1"/>
    <x v="1"/>
    <n v="1"/>
    <n v="0"/>
    <n v="0"/>
    <n v="0"/>
    <n v="0"/>
    <n v="0"/>
    <n v="0"/>
    <n v="0"/>
    <n v="0"/>
    <m/>
    <n v="50.2"/>
  </r>
  <r>
    <s v="USR-100064"/>
    <d v="2025-04-11T00:00:00"/>
    <x v="0"/>
    <x v="0"/>
    <x v="1"/>
    <x v="1"/>
    <x v="0"/>
    <n v="1"/>
    <n v="0"/>
    <n v="0"/>
    <n v="0"/>
    <n v="0"/>
    <n v="0"/>
    <n v="0"/>
    <n v="0"/>
    <n v="0"/>
    <m/>
    <n v="74.3"/>
  </r>
  <r>
    <s v="USR-100065"/>
    <d v="2025-03-07T00:00:00"/>
    <x v="0"/>
    <x v="3"/>
    <x v="0"/>
    <x v="2"/>
    <x v="1"/>
    <n v="1"/>
    <n v="0"/>
    <n v="0"/>
    <n v="0"/>
    <n v="0"/>
    <n v="0"/>
    <n v="0"/>
    <n v="0"/>
    <n v="0"/>
    <m/>
    <n v="58"/>
  </r>
  <r>
    <s v="USR-100066"/>
    <d v="2025-05-30T00:00:00"/>
    <x v="0"/>
    <x v="3"/>
    <x v="1"/>
    <x v="1"/>
    <x v="1"/>
    <n v="0"/>
    <n v="0"/>
    <n v="0"/>
    <n v="0"/>
    <n v="0"/>
    <n v="0"/>
    <n v="0"/>
    <n v="0"/>
    <n v="0"/>
    <m/>
    <n v="46.7"/>
  </r>
  <r>
    <s v="USR-100067"/>
    <d v="2025-01-07T00:00:00"/>
    <x v="0"/>
    <x v="3"/>
    <x v="0"/>
    <x v="1"/>
    <x v="2"/>
    <n v="1"/>
    <n v="0"/>
    <n v="0"/>
    <n v="0"/>
    <n v="0"/>
    <n v="0"/>
    <n v="1"/>
    <n v="1"/>
    <n v="0"/>
    <m/>
    <n v="49.6"/>
  </r>
  <r>
    <s v="USR-100068"/>
    <d v="2025-05-08T00:00:00"/>
    <x v="0"/>
    <x v="1"/>
    <x v="1"/>
    <x v="4"/>
    <x v="1"/>
    <n v="0"/>
    <n v="0"/>
    <n v="0"/>
    <n v="0"/>
    <n v="0"/>
    <n v="0"/>
    <n v="0"/>
    <n v="0"/>
    <n v="0"/>
    <m/>
    <n v="60.4"/>
  </r>
  <r>
    <s v="USR-100069"/>
    <d v="2025-03-19T00:00:00"/>
    <x v="0"/>
    <x v="2"/>
    <x v="0"/>
    <x v="0"/>
    <x v="1"/>
    <n v="1"/>
    <n v="1"/>
    <n v="1"/>
    <n v="0"/>
    <n v="0"/>
    <n v="0"/>
    <n v="0"/>
    <n v="0"/>
    <n v="0"/>
    <m/>
    <n v="55.3"/>
  </r>
  <r>
    <s v="USR-100070"/>
    <d v="2025-05-16T00:00:00"/>
    <x v="0"/>
    <x v="0"/>
    <x v="0"/>
    <x v="1"/>
    <x v="1"/>
    <n v="0"/>
    <n v="0"/>
    <n v="0"/>
    <n v="0"/>
    <n v="0"/>
    <n v="0"/>
    <n v="0"/>
    <n v="0"/>
    <n v="0"/>
    <m/>
    <n v="56.2"/>
  </r>
  <r>
    <s v="USR-100071"/>
    <d v="2025-03-08T00:00:00"/>
    <x v="0"/>
    <x v="1"/>
    <x v="1"/>
    <x v="0"/>
    <x v="1"/>
    <n v="0"/>
    <n v="0"/>
    <n v="0"/>
    <n v="0"/>
    <n v="0"/>
    <n v="0"/>
    <n v="0"/>
    <n v="0"/>
    <n v="0"/>
    <m/>
    <n v="29.4"/>
  </r>
  <r>
    <s v="USR-100072"/>
    <d v="2025-03-08T00:00:00"/>
    <x v="0"/>
    <x v="2"/>
    <x v="1"/>
    <x v="0"/>
    <x v="1"/>
    <n v="1"/>
    <n v="0"/>
    <n v="0"/>
    <n v="0"/>
    <n v="0"/>
    <n v="0"/>
    <n v="0"/>
    <n v="0"/>
    <n v="0"/>
    <m/>
    <n v="54.2"/>
  </r>
  <r>
    <s v="USR-100073"/>
    <d v="2025-01-14T00:00:00"/>
    <x v="0"/>
    <x v="2"/>
    <x v="0"/>
    <x v="2"/>
    <x v="0"/>
    <n v="0"/>
    <n v="0"/>
    <n v="0"/>
    <n v="0"/>
    <n v="0"/>
    <n v="0"/>
    <n v="0"/>
    <n v="0"/>
    <n v="0"/>
    <m/>
    <n v="46.4"/>
  </r>
  <r>
    <s v="USR-100074"/>
    <d v="2025-02-10T00:00:00"/>
    <x v="0"/>
    <x v="3"/>
    <x v="1"/>
    <x v="2"/>
    <x v="0"/>
    <n v="0"/>
    <n v="0"/>
    <n v="0"/>
    <n v="0"/>
    <n v="0"/>
    <n v="0"/>
    <n v="0"/>
    <n v="0"/>
    <n v="0"/>
    <m/>
    <n v="54.5"/>
  </r>
  <r>
    <s v="USR-100075"/>
    <d v="2025-03-17T00:00:00"/>
    <x v="0"/>
    <x v="0"/>
    <x v="1"/>
    <x v="1"/>
    <x v="1"/>
    <n v="0"/>
    <n v="0"/>
    <n v="0"/>
    <n v="0"/>
    <n v="0"/>
    <n v="0"/>
    <n v="0"/>
    <n v="0"/>
    <n v="0"/>
    <m/>
    <n v="58.5"/>
  </r>
  <r>
    <s v="USR-100076"/>
    <d v="2025-01-09T00:00:00"/>
    <x v="0"/>
    <x v="3"/>
    <x v="1"/>
    <x v="0"/>
    <x v="1"/>
    <n v="0"/>
    <n v="0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x v="1"/>
    <n v="0"/>
    <n v="0"/>
    <n v="0"/>
    <n v="0"/>
    <n v="0"/>
    <n v="0"/>
    <n v="1"/>
    <n v="1"/>
    <n v="0"/>
    <m/>
    <n v="84.9"/>
  </r>
  <r>
    <s v="USR-100078"/>
    <d v="2025-01-16T00:00:00"/>
    <x v="0"/>
    <x v="0"/>
    <x v="1"/>
    <x v="1"/>
    <x v="1"/>
    <n v="0"/>
    <n v="0"/>
    <n v="0"/>
    <n v="0"/>
    <n v="0"/>
    <n v="0"/>
    <n v="2"/>
    <n v="1"/>
    <n v="0"/>
    <m/>
    <n v="48.4"/>
  </r>
  <r>
    <s v="USR-100079"/>
    <d v="2025-02-20T00:00:00"/>
    <x v="0"/>
    <x v="1"/>
    <x v="0"/>
    <x v="1"/>
    <x v="1"/>
    <n v="1"/>
    <n v="1"/>
    <n v="1"/>
    <n v="1"/>
    <n v="457.51"/>
    <n v="457.51"/>
    <n v="0"/>
    <n v="0"/>
    <n v="0"/>
    <n v="7"/>
    <n v="38"/>
  </r>
  <r>
    <s v="USR-100080"/>
    <d v="2025-05-21T00:00:00"/>
    <x v="0"/>
    <x v="2"/>
    <x v="1"/>
    <x v="4"/>
    <x v="1"/>
    <n v="1"/>
    <n v="0"/>
    <n v="0"/>
    <n v="0"/>
    <n v="0"/>
    <n v="0"/>
    <n v="0"/>
    <n v="0"/>
    <n v="0"/>
    <m/>
    <n v="44.2"/>
  </r>
  <r>
    <s v="USR-100081"/>
    <d v="2025-05-08T00:00:00"/>
    <x v="0"/>
    <x v="3"/>
    <x v="1"/>
    <x v="1"/>
    <x v="1"/>
    <n v="1"/>
    <n v="1"/>
    <n v="1"/>
    <n v="0"/>
    <n v="0"/>
    <n v="0"/>
    <n v="0"/>
    <n v="0"/>
    <n v="0"/>
    <m/>
    <n v="81.2"/>
  </r>
  <r>
    <s v="USR-100082"/>
    <d v="2025-03-08T00:00:00"/>
    <x v="0"/>
    <x v="3"/>
    <x v="1"/>
    <x v="3"/>
    <x v="1"/>
    <n v="1"/>
    <n v="1"/>
    <n v="0"/>
    <n v="0"/>
    <n v="0"/>
    <n v="0"/>
    <n v="0"/>
    <n v="0"/>
    <n v="0"/>
    <m/>
    <n v="63.8"/>
  </r>
  <r>
    <s v="USR-100083"/>
    <d v="2025-04-01T00:00:00"/>
    <x v="0"/>
    <x v="3"/>
    <x v="0"/>
    <x v="0"/>
    <x v="1"/>
    <n v="0"/>
    <n v="0"/>
    <n v="0"/>
    <n v="0"/>
    <n v="0"/>
    <n v="0"/>
    <n v="0"/>
    <n v="0"/>
    <n v="0"/>
    <m/>
    <n v="64.7"/>
  </r>
  <r>
    <s v="USR-100084"/>
    <d v="2025-03-03T00:00:00"/>
    <x v="0"/>
    <x v="1"/>
    <x v="1"/>
    <x v="4"/>
    <x v="0"/>
    <n v="0"/>
    <n v="0"/>
    <n v="0"/>
    <n v="0"/>
    <n v="0"/>
    <n v="0"/>
    <n v="0"/>
    <n v="0"/>
    <n v="0"/>
    <m/>
    <n v="60.4"/>
  </r>
  <r>
    <s v="USR-100085"/>
    <d v="2025-04-16T00:00:00"/>
    <x v="0"/>
    <x v="3"/>
    <x v="1"/>
    <x v="2"/>
    <x v="1"/>
    <n v="0"/>
    <n v="0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x v="1"/>
    <n v="1"/>
    <n v="0"/>
    <n v="0"/>
    <n v="0"/>
    <n v="0"/>
    <n v="0"/>
    <n v="0"/>
    <n v="0"/>
    <n v="0"/>
    <m/>
    <n v="50.9"/>
  </r>
  <r>
    <s v="USR-100087"/>
    <d v="2025-01-22T00:00:00"/>
    <x v="0"/>
    <x v="1"/>
    <x v="0"/>
    <x v="4"/>
    <x v="0"/>
    <n v="0"/>
    <n v="0"/>
    <n v="0"/>
    <n v="0"/>
    <n v="0"/>
    <n v="0"/>
    <n v="0"/>
    <n v="0"/>
    <n v="0"/>
    <m/>
    <n v="51"/>
  </r>
  <r>
    <s v="USR-100088"/>
    <d v="2025-04-30T00:00:00"/>
    <x v="0"/>
    <x v="3"/>
    <x v="1"/>
    <x v="0"/>
    <x v="2"/>
    <n v="0"/>
    <n v="0"/>
    <n v="0"/>
    <n v="0"/>
    <n v="0"/>
    <n v="0"/>
    <n v="0"/>
    <n v="0"/>
    <n v="0"/>
    <m/>
    <n v="65.8"/>
  </r>
  <r>
    <s v="USR-100089"/>
    <d v="2025-04-25T00:00:00"/>
    <x v="0"/>
    <x v="0"/>
    <x v="1"/>
    <x v="3"/>
    <x v="0"/>
    <n v="1"/>
    <n v="0"/>
    <n v="0"/>
    <n v="0"/>
    <n v="0"/>
    <n v="0"/>
    <n v="0"/>
    <n v="0"/>
    <n v="0"/>
    <m/>
    <n v="61.8"/>
  </r>
  <r>
    <s v="USR-100090"/>
    <d v="2025-02-01T00:00:00"/>
    <x v="0"/>
    <x v="0"/>
    <x v="1"/>
    <x v="1"/>
    <x v="0"/>
    <n v="1"/>
    <n v="0"/>
    <n v="0"/>
    <n v="0"/>
    <n v="0"/>
    <n v="0"/>
    <n v="0"/>
    <n v="0"/>
    <n v="0"/>
    <m/>
    <n v="54.5"/>
  </r>
  <r>
    <s v="USR-100091"/>
    <d v="2025-04-23T00:00:00"/>
    <x v="0"/>
    <x v="3"/>
    <x v="0"/>
    <x v="1"/>
    <x v="1"/>
    <n v="1"/>
    <n v="0"/>
    <n v="0"/>
    <n v="0"/>
    <n v="0"/>
    <n v="0"/>
    <n v="0"/>
    <n v="0"/>
    <n v="0"/>
    <m/>
    <n v="72.2"/>
  </r>
  <r>
    <s v="USR-100092"/>
    <d v="2025-02-27T00:00:00"/>
    <x v="0"/>
    <x v="3"/>
    <x v="1"/>
    <x v="4"/>
    <x v="1"/>
    <n v="1"/>
    <n v="0"/>
    <n v="0"/>
    <n v="0"/>
    <n v="0"/>
    <n v="0"/>
    <n v="0"/>
    <n v="0"/>
    <n v="0"/>
    <m/>
    <n v="42.3"/>
  </r>
  <r>
    <s v="USR-100093"/>
    <d v="2025-04-09T00:00:00"/>
    <x v="0"/>
    <x v="2"/>
    <x v="0"/>
    <x v="1"/>
    <x v="0"/>
    <n v="1"/>
    <n v="0"/>
    <n v="0"/>
    <n v="0"/>
    <n v="0"/>
    <n v="0"/>
    <n v="0"/>
    <n v="0"/>
    <n v="0"/>
    <m/>
    <n v="76.2"/>
  </r>
  <r>
    <s v="USR-100094"/>
    <d v="2025-05-13T00:00:00"/>
    <x v="0"/>
    <x v="3"/>
    <x v="2"/>
    <x v="1"/>
    <x v="2"/>
    <n v="1"/>
    <n v="1"/>
    <n v="1"/>
    <n v="0"/>
    <n v="0"/>
    <n v="0"/>
    <n v="1"/>
    <n v="1"/>
    <n v="0"/>
    <m/>
    <n v="37.4"/>
  </r>
  <r>
    <s v="USR-100095"/>
    <d v="2025-04-13T00:00:00"/>
    <x v="0"/>
    <x v="2"/>
    <x v="1"/>
    <x v="1"/>
    <x v="1"/>
    <n v="0"/>
    <n v="0"/>
    <n v="0"/>
    <n v="0"/>
    <n v="0"/>
    <n v="0"/>
    <n v="0"/>
    <n v="0"/>
    <n v="0"/>
    <m/>
    <n v="84.2"/>
  </r>
  <r>
    <s v="USR-100096"/>
    <d v="2025-02-05T00:00:00"/>
    <x v="0"/>
    <x v="2"/>
    <x v="1"/>
    <x v="4"/>
    <x v="1"/>
    <n v="0"/>
    <n v="0"/>
    <n v="0"/>
    <n v="0"/>
    <n v="0"/>
    <n v="0"/>
    <n v="0"/>
    <n v="0"/>
    <n v="0"/>
    <m/>
    <n v="68"/>
  </r>
  <r>
    <s v="USR-100097"/>
    <d v="2025-02-14T00:00:00"/>
    <x v="0"/>
    <x v="1"/>
    <x v="1"/>
    <x v="1"/>
    <x v="0"/>
    <n v="1"/>
    <n v="0"/>
    <n v="0"/>
    <n v="0"/>
    <n v="0"/>
    <n v="0"/>
    <n v="0"/>
    <n v="0"/>
    <n v="0"/>
    <m/>
    <n v="53.5"/>
  </r>
  <r>
    <s v="USR-100098"/>
    <d v="2025-02-11T00:00:00"/>
    <x v="0"/>
    <x v="0"/>
    <x v="0"/>
    <x v="1"/>
    <x v="2"/>
    <n v="1"/>
    <n v="0"/>
    <n v="0"/>
    <n v="0"/>
    <n v="0"/>
    <n v="0"/>
    <n v="0"/>
    <n v="0"/>
    <n v="0"/>
    <m/>
    <n v="63.2"/>
  </r>
  <r>
    <s v="USR-100099"/>
    <d v="2025-02-11T00:00:00"/>
    <x v="0"/>
    <x v="2"/>
    <x v="0"/>
    <x v="4"/>
    <x v="1"/>
    <n v="1"/>
    <n v="1"/>
    <n v="1"/>
    <n v="1"/>
    <n v="363.32"/>
    <n v="363.32"/>
    <n v="0"/>
    <n v="0"/>
    <n v="0"/>
    <n v="9"/>
    <n v="55.9"/>
  </r>
  <r>
    <s v="USR-100100"/>
    <d v="2025-05-26T00:00:00"/>
    <x v="0"/>
    <x v="0"/>
    <x v="1"/>
    <x v="1"/>
    <x v="1"/>
    <n v="1"/>
    <n v="0"/>
    <n v="0"/>
    <n v="0"/>
    <n v="0"/>
    <n v="0"/>
    <n v="0"/>
    <n v="0"/>
    <n v="0"/>
    <m/>
    <n v="63.5"/>
  </r>
  <r>
    <s v="USR-100101"/>
    <d v="2025-03-22T00:00:00"/>
    <x v="0"/>
    <x v="0"/>
    <x v="1"/>
    <x v="2"/>
    <x v="0"/>
    <n v="1"/>
    <n v="0"/>
    <n v="0"/>
    <n v="0"/>
    <n v="0"/>
    <n v="0"/>
    <n v="0"/>
    <n v="0"/>
    <n v="0"/>
    <m/>
    <n v="51.5"/>
  </r>
  <r>
    <s v="USR-100102"/>
    <d v="2025-04-08T00:00:00"/>
    <x v="0"/>
    <x v="1"/>
    <x v="1"/>
    <x v="2"/>
    <x v="1"/>
    <n v="1"/>
    <n v="0"/>
    <n v="0"/>
    <n v="0"/>
    <n v="0"/>
    <n v="0"/>
    <n v="0"/>
    <n v="0"/>
    <n v="0"/>
    <m/>
    <n v="74.400000000000006"/>
  </r>
  <r>
    <s v="USR-100103"/>
    <d v="2025-04-14T00:00:00"/>
    <x v="0"/>
    <x v="0"/>
    <x v="0"/>
    <x v="4"/>
    <x v="1"/>
    <n v="1"/>
    <n v="1"/>
    <n v="1"/>
    <n v="1"/>
    <n v="3887.98"/>
    <n v="1496.19"/>
    <n v="0"/>
    <n v="0"/>
    <n v="0"/>
    <n v="13"/>
    <n v="60.2"/>
  </r>
  <r>
    <s v="USR-100104"/>
    <d v="2025-03-27T00:00:00"/>
    <x v="0"/>
    <x v="3"/>
    <x v="1"/>
    <x v="0"/>
    <x v="1"/>
    <n v="1"/>
    <n v="0"/>
    <n v="0"/>
    <n v="0"/>
    <n v="0"/>
    <n v="0"/>
    <n v="1"/>
    <n v="1"/>
    <n v="0"/>
    <m/>
    <n v="67.2"/>
  </r>
  <r>
    <s v="USR-100105"/>
    <d v="2025-01-05T00:00:00"/>
    <x v="0"/>
    <x v="3"/>
    <x v="1"/>
    <x v="4"/>
    <x v="1"/>
    <n v="1"/>
    <n v="1"/>
    <n v="1"/>
    <n v="0"/>
    <n v="0"/>
    <n v="0"/>
    <n v="0"/>
    <n v="0"/>
    <n v="0"/>
    <m/>
    <n v="79.599999999999994"/>
  </r>
  <r>
    <s v="USR-100106"/>
    <d v="2025-01-25T00:00:00"/>
    <x v="0"/>
    <x v="3"/>
    <x v="1"/>
    <x v="4"/>
    <x v="0"/>
    <n v="1"/>
    <n v="1"/>
    <n v="1"/>
    <n v="1"/>
    <n v="8610.7199999999993"/>
    <n v="1496.19"/>
    <n v="0"/>
    <n v="0"/>
    <n v="0"/>
    <n v="6"/>
    <n v="61"/>
  </r>
  <r>
    <s v="USR-100107"/>
    <d v="2025-01-23T00:00:00"/>
    <x v="0"/>
    <x v="1"/>
    <x v="1"/>
    <x v="0"/>
    <x v="1"/>
    <n v="1"/>
    <n v="1"/>
    <n v="1"/>
    <n v="0"/>
    <n v="0"/>
    <n v="0"/>
    <n v="4"/>
    <n v="1"/>
    <n v="0"/>
    <m/>
    <n v="51.1"/>
  </r>
  <r>
    <s v="USR-100108"/>
    <d v="2025-05-25T00:00:00"/>
    <x v="0"/>
    <x v="2"/>
    <x v="0"/>
    <x v="3"/>
    <x v="1"/>
    <n v="1"/>
    <n v="0"/>
    <n v="0"/>
    <n v="0"/>
    <n v="0"/>
    <n v="0"/>
    <n v="0"/>
    <n v="0"/>
    <n v="0"/>
    <m/>
    <n v="92.1"/>
  </r>
  <r>
    <s v="USR-100109"/>
    <d v="2025-03-22T00:00:00"/>
    <x v="0"/>
    <x v="3"/>
    <x v="1"/>
    <x v="3"/>
    <x v="0"/>
    <n v="0"/>
    <n v="0"/>
    <n v="0"/>
    <n v="0"/>
    <n v="0"/>
    <n v="0"/>
    <n v="0"/>
    <n v="0"/>
    <n v="0"/>
    <m/>
    <n v="82.1"/>
  </r>
  <r>
    <s v="USR-100110"/>
    <d v="2025-02-12T00:00:00"/>
    <x v="0"/>
    <x v="1"/>
    <x v="0"/>
    <x v="2"/>
    <x v="0"/>
    <n v="1"/>
    <n v="0"/>
    <n v="0"/>
    <n v="0"/>
    <n v="0"/>
    <n v="0"/>
    <n v="1"/>
    <n v="1"/>
    <n v="0"/>
    <m/>
    <n v="74"/>
  </r>
  <r>
    <s v="USR-100111"/>
    <d v="2025-04-28T00:00:00"/>
    <x v="0"/>
    <x v="1"/>
    <x v="0"/>
    <x v="1"/>
    <x v="0"/>
    <n v="1"/>
    <n v="0"/>
    <n v="0"/>
    <n v="0"/>
    <n v="0"/>
    <n v="0"/>
    <n v="0"/>
    <n v="0"/>
    <n v="0"/>
    <m/>
    <n v="63.4"/>
  </r>
  <r>
    <s v="USR-100112"/>
    <d v="2025-01-30T00:00:00"/>
    <x v="0"/>
    <x v="0"/>
    <x v="1"/>
    <x v="1"/>
    <x v="0"/>
    <n v="1"/>
    <n v="0"/>
    <n v="0"/>
    <n v="0"/>
    <n v="0"/>
    <n v="0"/>
    <n v="0"/>
    <n v="0"/>
    <n v="0"/>
    <m/>
    <n v="53.2"/>
  </r>
  <r>
    <s v="USR-100113"/>
    <d v="2025-05-19T00:00:00"/>
    <x v="0"/>
    <x v="2"/>
    <x v="2"/>
    <x v="2"/>
    <x v="1"/>
    <n v="0"/>
    <n v="0"/>
    <n v="0"/>
    <n v="0"/>
    <n v="0"/>
    <n v="0"/>
    <n v="0"/>
    <n v="0"/>
    <n v="0"/>
    <m/>
    <n v="48.1"/>
  </r>
  <r>
    <s v="USR-100114"/>
    <d v="2025-01-23T00:00:00"/>
    <x v="0"/>
    <x v="3"/>
    <x v="1"/>
    <x v="4"/>
    <x v="1"/>
    <n v="1"/>
    <n v="1"/>
    <n v="0"/>
    <n v="0"/>
    <n v="0"/>
    <n v="0"/>
    <n v="0"/>
    <n v="0"/>
    <n v="0"/>
    <m/>
    <n v="61.5"/>
  </r>
  <r>
    <s v="USR-100115"/>
    <d v="2025-03-28T00:00:00"/>
    <x v="0"/>
    <x v="2"/>
    <x v="0"/>
    <x v="4"/>
    <x v="1"/>
    <n v="1"/>
    <n v="0"/>
    <n v="0"/>
    <n v="0"/>
    <n v="0"/>
    <n v="0"/>
    <n v="0"/>
    <n v="0"/>
    <n v="0"/>
    <m/>
    <n v="63.2"/>
  </r>
  <r>
    <s v="USR-100116"/>
    <d v="2025-01-11T00:00:00"/>
    <x v="0"/>
    <x v="1"/>
    <x v="1"/>
    <x v="1"/>
    <x v="1"/>
    <n v="0"/>
    <n v="0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x v="1"/>
    <n v="0"/>
    <n v="0"/>
    <n v="0"/>
    <n v="0"/>
    <n v="0"/>
    <n v="0"/>
    <n v="0"/>
    <n v="0"/>
    <n v="0"/>
    <m/>
    <n v="62.7"/>
  </r>
  <r>
    <s v="USR-100118"/>
    <d v="2025-01-02T00:00:00"/>
    <x v="0"/>
    <x v="1"/>
    <x v="1"/>
    <x v="2"/>
    <x v="1"/>
    <n v="1"/>
    <n v="0"/>
    <n v="0"/>
    <n v="0"/>
    <n v="0"/>
    <n v="0"/>
    <n v="0"/>
    <n v="0"/>
    <n v="0"/>
    <m/>
    <n v="51.5"/>
  </r>
  <r>
    <s v="USR-100119"/>
    <d v="2025-03-18T00:00:00"/>
    <x v="0"/>
    <x v="2"/>
    <x v="1"/>
    <x v="4"/>
    <x v="1"/>
    <n v="1"/>
    <n v="1"/>
    <n v="1"/>
    <n v="0"/>
    <n v="0"/>
    <n v="0"/>
    <n v="0"/>
    <n v="0"/>
    <n v="0"/>
    <m/>
    <n v="39.1"/>
  </r>
  <r>
    <s v="USR-100120"/>
    <d v="2025-03-31T00:00:00"/>
    <x v="0"/>
    <x v="0"/>
    <x v="1"/>
    <x v="0"/>
    <x v="1"/>
    <n v="1"/>
    <n v="0"/>
    <n v="0"/>
    <n v="0"/>
    <n v="0"/>
    <n v="0"/>
    <n v="0"/>
    <n v="0"/>
    <n v="0"/>
    <m/>
    <n v="43.8"/>
  </r>
  <r>
    <s v="USR-100121"/>
    <d v="2025-01-06T00:00:00"/>
    <x v="0"/>
    <x v="0"/>
    <x v="1"/>
    <x v="2"/>
    <x v="0"/>
    <n v="1"/>
    <n v="0"/>
    <n v="0"/>
    <n v="0"/>
    <n v="0"/>
    <n v="0"/>
    <n v="0"/>
    <n v="0"/>
    <n v="0"/>
    <m/>
    <n v="59.9"/>
  </r>
  <r>
    <s v="USR-100122"/>
    <d v="2025-01-26T00:00:00"/>
    <x v="0"/>
    <x v="0"/>
    <x v="1"/>
    <x v="3"/>
    <x v="1"/>
    <n v="1"/>
    <n v="1"/>
    <n v="0"/>
    <n v="0"/>
    <n v="0"/>
    <n v="0"/>
    <n v="0"/>
    <n v="0"/>
    <n v="0"/>
    <m/>
    <n v="71.400000000000006"/>
  </r>
  <r>
    <s v="USR-100123"/>
    <d v="2025-04-22T00:00:00"/>
    <x v="0"/>
    <x v="3"/>
    <x v="1"/>
    <x v="3"/>
    <x v="0"/>
    <n v="0"/>
    <n v="0"/>
    <n v="0"/>
    <n v="0"/>
    <n v="0"/>
    <n v="0"/>
    <n v="0"/>
    <n v="0"/>
    <n v="0"/>
    <m/>
    <n v="36.1"/>
  </r>
  <r>
    <s v="USR-100124"/>
    <d v="2025-05-30T00:00:00"/>
    <x v="0"/>
    <x v="1"/>
    <x v="3"/>
    <x v="0"/>
    <x v="0"/>
    <n v="1"/>
    <n v="1"/>
    <n v="0"/>
    <n v="0"/>
    <n v="0"/>
    <n v="0"/>
    <n v="0"/>
    <n v="0"/>
    <n v="0"/>
    <m/>
    <n v="47.9"/>
  </r>
  <r>
    <s v="USR-100125"/>
    <d v="2025-05-18T00:00:00"/>
    <x v="0"/>
    <x v="1"/>
    <x v="0"/>
    <x v="1"/>
    <x v="2"/>
    <n v="1"/>
    <n v="0"/>
    <n v="0"/>
    <n v="0"/>
    <n v="0"/>
    <n v="0"/>
    <n v="0"/>
    <n v="0"/>
    <n v="0"/>
    <m/>
    <n v="62.5"/>
  </r>
  <r>
    <s v="USR-100126"/>
    <d v="2025-01-13T00:00:00"/>
    <x v="0"/>
    <x v="3"/>
    <x v="0"/>
    <x v="2"/>
    <x v="2"/>
    <n v="1"/>
    <n v="0"/>
    <n v="0"/>
    <n v="0"/>
    <n v="0"/>
    <n v="0"/>
    <n v="0"/>
    <n v="0"/>
    <n v="0"/>
    <m/>
    <n v="56.9"/>
  </r>
  <r>
    <s v="USR-100127"/>
    <d v="2025-03-25T00:00:00"/>
    <x v="0"/>
    <x v="0"/>
    <x v="0"/>
    <x v="0"/>
    <x v="1"/>
    <n v="0"/>
    <n v="0"/>
    <n v="0"/>
    <n v="0"/>
    <n v="0"/>
    <n v="0"/>
    <n v="0"/>
    <n v="0"/>
    <n v="0"/>
    <m/>
    <n v="64.7"/>
  </r>
  <r>
    <s v="USR-100128"/>
    <d v="2025-04-29T00:00:00"/>
    <x v="0"/>
    <x v="3"/>
    <x v="0"/>
    <x v="1"/>
    <x v="1"/>
    <n v="1"/>
    <n v="1"/>
    <n v="1"/>
    <n v="0"/>
    <n v="0"/>
    <n v="0"/>
    <n v="0"/>
    <n v="0"/>
    <n v="0"/>
    <m/>
    <n v="64"/>
  </r>
  <r>
    <s v="USR-100129"/>
    <d v="2025-05-17T00:00:00"/>
    <x v="0"/>
    <x v="2"/>
    <x v="1"/>
    <x v="3"/>
    <x v="0"/>
    <n v="1"/>
    <n v="1"/>
    <n v="1"/>
    <n v="0"/>
    <n v="0"/>
    <n v="0"/>
    <n v="0"/>
    <n v="0"/>
    <n v="0"/>
    <m/>
    <n v="75.2"/>
  </r>
  <r>
    <s v="USR-100130"/>
    <d v="2025-01-02T00:00:00"/>
    <x v="0"/>
    <x v="0"/>
    <x v="1"/>
    <x v="2"/>
    <x v="1"/>
    <n v="1"/>
    <n v="0"/>
    <n v="0"/>
    <n v="0"/>
    <n v="0"/>
    <n v="0"/>
    <n v="1"/>
    <n v="1"/>
    <n v="0"/>
    <m/>
    <n v="79"/>
  </r>
  <r>
    <s v="USR-100131"/>
    <d v="2025-02-03T00:00:00"/>
    <x v="0"/>
    <x v="3"/>
    <x v="1"/>
    <x v="1"/>
    <x v="1"/>
    <n v="0"/>
    <n v="0"/>
    <n v="0"/>
    <n v="0"/>
    <n v="0"/>
    <n v="0"/>
    <n v="0"/>
    <n v="0"/>
    <n v="0"/>
    <m/>
    <n v="33"/>
  </r>
  <r>
    <s v="USR-100132"/>
    <d v="2025-03-04T00:00:00"/>
    <x v="0"/>
    <x v="2"/>
    <x v="1"/>
    <x v="1"/>
    <x v="1"/>
    <n v="1"/>
    <n v="0"/>
    <n v="0"/>
    <n v="0"/>
    <n v="0"/>
    <n v="0"/>
    <n v="0"/>
    <n v="0"/>
    <n v="0"/>
    <m/>
    <n v="67.900000000000006"/>
  </r>
  <r>
    <s v="USR-100133"/>
    <d v="2025-01-26T00:00:00"/>
    <x v="0"/>
    <x v="3"/>
    <x v="1"/>
    <x v="2"/>
    <x v="0"/>
    <n v="0"/>
    <n v="0"/>
    <n v="0"/>
    <n v="0"/>
    <n v="0"/>
    <n v="0"/>
    <n v="0"/>
    <n v="0"/>
    <n v="0"/>
    <m/>
    <n v="42.2"/>
  </r>
  <r>
    <s v="USR-100134"/>
    <d v="2025-05-12T00:00:00"/>
    <x v="0"/>
    <x v="1"/>
    <x v="1"/>
    <x v="2"/>
    <x v="0"/>
    <n v="1"/>
    <n v="1"/>
    <n v="1"/>
    <n v="0"/>
    <n v="0"/>
    <n v="0"/>
    <n v="0"/>
    <n v="0"/>
    <n v="0"/>
    <m/>
    <n v="43.4"/>
  </r>
  <r>
    <s v="USR-100135"/>
    <d v="2025-03-06T00:00:00"/>
    <x v="0"/>
    <x v="0"/>
    <x v="1"/>
    <x v="1"/>
    <x v="0"/>
    <n v="0"/>
    <n v="0"/>
    <n v="0"/>
    <n v="0"/>
    <n v="0"/>
    <n v="0"/>
    <n v="0"/>
    <n v="0"/>
    <n v="0"/>
    <m/>
    <n v="54.4"/>
  </r>
  <r>
    <s v="USR-100136"/>
    <d v="2025-03-10T00:00:00"/>
    <x v="0"/>
    <x v="3"/>
    <x v="0"/>
    <x v="0"/>
    <x v="2"/>
    <n v="0"/>
    <n v="0"/>
    <n v="0"/>
    <n v="0"/>
    <n v="0"/>
    <n v="0"/>
    <n v="0"/>
    <n v="0"/>
    <n v="0"/>
    <m/>
    <n v="45.7"/>
  </r>
  <r>
    <s v="USR-100137"/>
    <d v="2025-05-06T00:00:00"/>
    <x v="0"/>
    <x v="0"/>
    <x v="1"/>
    <x v="2"/>
    <x v="1"/>
    <n v="0"/>
    <n v="0"/>
    <n v="0"/>
    <n v="0"/>
    <n v="0"/>
    <n v="0"/>
    <n v="3"/>
    <n v="1"/>
    <n v="0"/>
    <m/>
    <n v="32"/>
  </r>
  <r>
    <s v="USR-100138"/>
    <d v="2025-02-23T00:00:00"/>
    <x v="0"/>
    <x v="3"/>
    <x v="0"/>
    <x v="2"/>
    <x v="1"/>
    <n v="1"/>
    <n v="0"/>
    <n v="0"/>
    <n v="0"/>
    <n v="0"/>
    <n v="0"/>
    <n v="0"/>
    <n v="0"/>
    <n v="0"/>
    <m/>
    <n v="70.900000000000006"/>
  </r>
  <r>
    <s v="USR-100139"/>
    <d v="2025-01-29T00:00:00"/>
    <x v="0"/>
    <x v="1"/>
    <x v="1"/>
    <x v="4"/>
    <x v="0"/>
    <n v="1"/>
    <n v="1"/>
    <n v="1"/>
    <n v="0"/>
    <n v="0"/>
    <n v="0"/>
    <n v="0"/>
    <n v="0"/>
    <n v="0"/>
    <m/>
    <n v="59.1"/>
  </r>
  <r>
    <s v="USR-100140"/>
    <d v="2025-01-31T00:00:00"/>
    <x v="0"/>
    <x v="0"/>
    <x v="1"/>
    <x v="1"/>
    <x v="0"/>
    <n v="0"/>
    <n v="0"/>
    <n v="0"/>
    <n v="0"/>
    <n v="0"/>
    <n v="0"/>
    <n v="0"/>
    <n v="0"/>
    <n v="0"/>
    <m/>
    <n v="62.4"/>
  </r>
  <r>
    <s v="USR-100141"/>
    <d v="2025-01-19T00:00:00"/>
    <x v="0"/>
    <x v="3"/>
    <x v="1"/>
    <x v="1"/>
    <x v="1"/>
    <n v="0"/>
    <n v="0"/>
    <n v="0"/>
    <n v="0"/>
    <n v="0"/>
    <n v="0"/>
    <n v="0"/>
    <n v="0"/>
    <n v="0"/>
    <m/>
    <n v="49.6"/>
  </r>
  <r>
    <s v="USR-100142"/>
    <d v="2025-04-03T00:00:00"/>
    <x v="0"/>
    <x v="1"/>
    <x v="0"/>
    <x v="4"/>
    <x v="1"/>
    <n v="1"/>
    <n v="1"/>
    <n v="1"/>
    <n v="1"/>
    <n v="404.4"/>
    <n v="404.4"/>
    <n v="0"/>
    <n v="0"/>
    <n v="0"/>
    <n v="9"/>
    <n v="80.599999999999994"/>
  </r>
  <r>
    <s v="USR-100143"/>
    <d v="2025-04-07T00:00:00"/>
    <x v="0"/>
    <x v="0"/>
    <x v="1"/>
    <x v="2"/>
    <x v="1"/>
    <n v="1"/>
    <n v="0"/>
    <n v="0"/>
    <n v="0"/>
    <n v="0"/>
    <n v="0"/>
    <n v="0"/>
    <n v="0"/>
    <n v="0"/>
    <m/>
    <n v="47.9"/>
  </r>
  <r>
    <s v="USR-100144"/>
    <d v="2025-01-06T00:00:00"/>
    <x v="0"/>
    <x v="2"/>
    <x v="1"/>
    <x v="2"/>
    <x v="0"/>
    <n v="1"/>
    <n v="1"/>
    <n v="0"/>
    <n v="0"/>
    <n v="0"/>
    <n v="0"/>
    <n v="0"/>
    <n v="0"/>
    <n v="0"/>
    <m/>
    <n v="54.8"/>
  </r>
  <r>
    <s v="USR-100145"/>
    <d v="2025-04-11T00:00:00"/>
    <x v="0"/>
    <x v="2"/>
    <x v="1"/>
    <x v="1"/>
    <x v="1"/>
    <n v="1"/>
    <n v="0"/>
    <n v="0"/>
    <n v="0"/>
    <n v="0"/>
    <n v="0"/>
    <n v="1"/>
    <n v="1"/>
    <n v="0"/>
    <m/>
    <n v="53.9"/>
  </r>
  <r>
    <s v="USR-100146"/>
    <d v="2025-04-23T00:00:00"/>
    <x v="0"/>
    <x v="2"/>
    <x v="1"/>
    <x v="2"/>
    <x v="1"/>
    <n v="1"/>
    <n v="0"/>
    <n v="0"/>
    <n v="0"/>
    <n v="0"/>
    <n v="0"/>
    <n v="0"/>
    <n v="0"/>
    <n v="0"/>
    <m/>
    <n v="41.3"/>
  </r>
  <r>
    <s v="USR-100147"/>
    <d v="2025-03-25T00:00:00"/>
    <x v="0"/>
    <x v="1"/>
    <x v="1"/>
    <x v="1"/>
    <x v="0"/>
    <n v="1"/>
    <n v="1"/>
    <n v="0"/>
    <n v="0"/>
    <n v="0"/>
    <n v="0"/>
    <n v="0"/>
    <n v="0"/>
    <n v="0"/>
    <m/>
    <n v="38.9"/>
  </r>
  <r>
    <s v="USR-100148"/>
    <d v="2025-05-25T00:00:00"/>
    <x v="0"/>
    <x v="3"/>
    <x v="0"/>
    <x v="1"/>
    <x v="0"/>
    <n v="1"/>
    <n v="0"/>
    <n v="0"/>
    <n v="0"/>
    <n v="0"/>
    <n v="0"/>
    <n v="0"/>
    <n v="0"/>
    <n v="0"/>
    <m/>
    <n v="63.6"/>
  </r>
  <r>
    <s v="USR-100149"/>
    <d v="2025-01-28T00:00:00"/>
    <x v="0"/>
    <x v="0"/>
    <x v="1"/>
    <x v="1"/>
    <x v="1"/>
    <n v="1"/>
    <n v="1"/>
    <n v="1"/>
    <n v="1"/>
    <n v="577.94000000000005"/>
    <n v="577.94000000000005"/>
    <n v="0"/>
    <n v="0"/>
    <n v="0"/>
    <n v="9"/>
    <n v="76.599999999999994"/>
  </r>
  <r>
    <s v="USR-100150"/>
    <d v="2025-02-12T00:00:00"/>
    <x v="0"/>
    <x v="1"/>
    <x v="1"/>
    <x v="2"/>
    <x v="2"/>
    <n v="0"/>
    <n v="0"/>
    <n v="0"/>
    <n v="0"/>
    <n v="0"/>
    <n v="0"/>
    <n v="1"/>
    <n v="1"/>
    <n v="0"/>
    <m/>
    <n v="67.599999999999994"/>
  </r>
  <r>
    <s v="USR-100151"/>
    <d v="2025-04-29T00:00:00"/>
    <x v="0"/>
    <x v="0"/>
    <x v="1"/>
    <x v="4"/>
    <x v="2"/>
    <n v="1"/>
    <n v="0"/>
    <n v="0"/>
    <n v="0"/>
    <n v="0"/>
    <n v="0"/>
    <n v="0"/>
    <n v="0"/>
    <n v="0"/>
    <m/>
    <n v="43.1"/>
  </r>
  <r>
    <s v="USR-100152"/>
    <d v="2025-03-13T00:00:00"/>
    <x v="0"/>
    <x v="3"/>
    <x v="1"/>
    <x v="0"/>
    <x v="1"/>
    <n v="1"/>
    <n v="0"/>
    <n v="0"/>
    <n v="0"/>
    <n v="0"/>
    <n v="0"/>
    <n v="0"/>
    <n v="0"/>
    <n v="0"/>
    <m/>
    <n v="58.3"/>
  </r>
  <r>
    <s v="USR-100153"/>
    <d v="2025-02-04T00:00:00"/>
    <x v="0"/>
    <x v="2"/>
    <x v="0"/>
    <x v="2"/>
    <x v="1"/>
    <n v="1"/>
    <n v="0"/>
    <n v="0"/>
    <n v="0"/>
    <n v="0"/>
    <n v="0"/>
    <n v="0"/>
    <n v="0"/>
    <n v="0"/>
    <m/>
    <n v="69.8"/>
  </r>
  <r>
    <s v="USR-100154"/>
    <d v="2025-03-04T00:00:00"/>
    <x v="0"/>
    <x v="3"/>
    <x v="1"/>
    <x v="3"/>
    <x v="1"/>
    <n v="1"/>
    <n v="1"/>
    <n v="0"/>
    <n v="0"/>
    <n v="0"/>
    <n v="0"/>
    <n v="0"/>
    <n v="0"/>
    <n v="0"/>
    <m/>
    <m/>
  </r>
  <r>
    <s v="USR-100155"/>
    <d v="2025-02-04T00:00:00"/>
    <x v="0"/>
    <x v="1"/>
    <x v="1"/>
    <x v="2"/>
    <x v="0"/>
    <n v="1"/>
    <n v="1"/>
    <n v="0"/>
    <n v="0"/>
    <n v="0"/>
    <n v="0"/>
    <n v="0"/>
    <n v="0"/>
    <n v="0"/>
    <m/>
    <n v="41.9"/>
  </r>
  <r>
    <s v="USR-100156"/>
    <d v="2025-03-11T00:00:00"/>
    <x v="0"/>
    <x v="0"/>
    <x v="0"/>
    <x v="1"/>
    <x v="1"/>
    <n v="0"/>
    <n v="0"/>
    <n v="0"/>
    <n v="0"/>
    <n v="0"/>
    <n v="0"/>
    <n v="0"/>
    <n v="0"/>
    <n v="0"/>
    <m/>
    <n v="33.1"/>
  </r>
  <r>
    <s v="USR-100157"/>
    <d v="2025-04-22T00:00:00"/>
    <x v="0"/>
    <x v="1"/>
    <x v="1"/>
    <x v="1"/>
    <x v="1"/>
    <n v="0"/>
    <n v="0"/>
    <n v="0"/>
    <n v="0"/>
    <n v="0"/>
    <n v="0"/>
    <n v="0"/>
    <n v="0"/>
    <n v="0"/>
    <m/>
    <n v="58.6"/>
  </r>
  <r>
    <s v="USR-100158"/>
    <d v="2025-03-08T00:00:00"/>
    <x v="0"/>
    <x v="0"/>
    <x v="0"/>
    <x v="2"/>
    <x v="1"/>
    <n v="0"/>
    <n v="0"/>
    <n v="0"/>
    <n v="0"/>
    <n v="0"/>
    <n v="0"/>
    <n v="0"/>
    <n v="0"/>
    <n v="0"/>
    <m/>
    <n v="55.7"/>
  </r>
  <r>
    <s v="USR-100159"/>
    <d v="2025-03-10T00:00:00"/>
    <x v="0"/>
    <x v="2"/>
    <x v="1"/>
    <x v="1"/>
    <x v="1"/>
    <n v="0"/>
    <n v="0"/>
    <n v="0"/>
    <n v="0"/>
    <n v="0"/>
    <n v="0"/>
    <n v="2"/>
    <n v="1"/>
    <n v="0"/>
    <m/>
    <n v="64.900000000000006"/>
  </r>
  <r>
    <s v="USR-100160"/>
    <d v="2025-05-18T00:00:00"/>
    <x v="0"/>
    <x v="0"/>
    <x v="0"/>
    <x v="2"/>
    <x v="0"/>
    <n v="0"/>
    <n v="0"/>
    <n v="0"/>
    <n v="0"/>
    <n v="0"/>
    <n v="0"/>
    <n v="0"/>
    <n v="0"/>
    <n v="0"/>
    <m/>
    <n v="72.3"/>
  </r>
  <r>
    <s v="USR-100161"/>
    <d v="2025-05-14T00:00:00"/>
    <x v="0"/>
    <x v="0"/>
    <x v="1"/>
    <x v="4"/>
    <x v="0"/>
    <n v="0"/>
    <n v="0"/>
    <n v="0"/>
    <n v="0"/>
    <n v="0"/>
    <n v="0"/>
    <n v="0"/>
    <n v="0"/>
    <n v="0"/>
    <m/>
    <n v="42.1"/>
  </r>
  <r>
    <s v="USR-100162"/>
    <d v="2025-02-01T00:00:00"/>
    <x v="0"/>
    <x v="0"/>
    <x v="1"/>
    <x v="1"/>
    <x v="1"/>
    <n v="0"/>
    <n v="0"/>
    <n v="0"/>
    <n v="0"/>
    <n v="0"/>
    <n v="0"/>
    <n v="0"/>
    <n v="0"/>
    <n v="0"/>
    <m/>
    <m/>
  </r>
  <r>
    <s v="USR-100163"/>
    <d v="2025-04-11T00:00:00"/>
    <x v="0"/>
    <x v="3"/>
    <x v="1"/>
    <x v="1"/>
    <x v="0"/>
    <n v="0"/>
    <n v="0"/>
    <n v="0"/>
    <n v="0"/>
    <n v="0"/>
    <n v="0"/>
    <n v="1"/>
    <n v="1"/>
    <n v="0"/>
    <m/>
    <n v="64.8"/>
  </r>
  <r>
    <s v="USR-100164"/>
    <d v="2025-02-14T00:00:00"/>
    <x v="0"/>
    <x v="2"/>
    <x v="1"/>
    <x v="1"/>
    <x v="1"/>
    <n v="0"/>
    <n v="0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x v="1"/>
    <n v="1"/>
    <n v="0"/>
    <n v="0"/>
    <n v="0"/>
    <n v="0"/>
    <n v="0"/>
    <n v="0"/>
    <n v="0"/>
    <n v="0"/>
    <m/>
    <n v="50.6"/>
  </r>
  <r>
    <s v="USR-100166"/>
    <d v="2025-04-26T00:00:00"/>
    <x v="0"/>
    <x v="0"/>
    <x v="0"/>
    <x v="2"/>
    <x v="0"/>
    <n v="1"/>
    <n v="1"/>
    <n v="1"/>
    <n v="1"/>
    <n v="1281.25"/>
    <n v="1281.25"/>
    <n v="1"/>
    <n v="1"/>
    <n v="0"/>
    <n v="9"/>
    <n v="43.4"/>
  </r>
  <r>
    <s v="USR-100167"/>
    <d v="2025-04-06T00:00:00"/>
    <x v="0"/>
    <x v="3"/>
    <x v="1"/>
    <x v="4"/>
    <x v="1"/>
    <n v="1"/>
    <n v="0"/>
    <n v="0"/>
    <n v="0"/>
    <n v="0"/>
    <n v="0"/>
    <n v="0"/>
    <n v="0"/>
    <n v="0"/>
    <m/>
    <n v="59.7"/>
  </r>
  <r>
    <s v="USR-100168"/>
    <d v="2025-03-06T00:00:00"/>
    <x v="0"/>
    <x v="3"/>
    <x v="1"/>
    <x v="2"/>
    <x v="1"/>
    <n v="1"/>
    <n v="0"/>
    <n v="0"/>
    <n v="0"/>
    <n v="0"/>
    <n v="0"/>
    <n v="1"/>
    <n v="1"/>
    <n v="0"/>
    <m/>
    <m/>
  </r>
  <r>
    <s v="USR-100169"/>
    <d v="2025-03-10T00:00:00"/>
    <x v="0"/>
    <x v="1"/>
    <x v="1"/>
    <x v="4"/>
    <x v="0"/>
    <n v="0"/>
    <n v="0"/>
    <n v="0"/>
    <n v="0"/>
    <n v="0"/>
    <n v="0"/>
    <n v="0"/>
    <n v="0"/>
    <n v="0"/>
    <m/>
    <n v="54.5"/>
  </r>
  <r>
    <s v="USR-100170"/>
    <d v="2025-03-30T00:00:00"/>
    <x v="0"/>
    <x v="0"/>
    <x v="1"/>
    <x v="1"/>
    <x v="1"/>
    <n v="1"/>
    <n v="0"/>
    <n v="0"/>
    <n v="0"/>
    <n v="0"/>
    <n v="0"/>
    <n v="0"/>
    <n v="0"/>
    <n v="0"/>
    <m/>
    <n v="71.099999999999994"/>
  </r>
  <r>
    <s v="USR-100171"/>
    <d v="2025-05-29T00:00:00"/>
    <x v="0"/>
    <x v="2"/>
    <x v="3"/>
    <x v="2"/>
    <x v="1"/>
    <n v="1"/>
    <n v="1"/>
    <n v="1"/>
    <n v="0"/>
    <n v="0"/>
    <n v="0"/>
    <n v="0"/>
    <n v="0"/>
    <n v="0"/>
    <m/>
    <n v="44.4"/>
  </r>
  <r>
    <s v="USR-100172"/>
    <d v="2025-03-23T00:00:00"/>
    <x v="0"/>
    <x v="0"/>
    <x v="1"/>
    <x v="1"/>
    <x v="1"/>
    <n v="1"/>
    <n v="0"/>
    <n v="0"/>
    <n v="0"/>
    <n v="0"/>
    <n v="0"/>
    <n v="0"/>
    <n v="0"/>
    <n v="0"/>
    <m/>
    <n v="61.7"/>
  </r>
  <r>
    <s v="USR-100173"/>
    <d v="2025-02-18T00:00:00"/>
    <x v="0"/>
    <x v="0"/>
    <x v="2"/>
    <x v="1"/>
    <x v="0"/>
    <n v="0"/>
    <n v="0"/>
    <n v="0"/>
    <n v="0"/>
    <n v="0"/>
    <n v="0"/>
    <n v="1"/>
    <n v="1"/>
    <n v="0"/>
    <m/>
    <n v="81.3"/>
  </r>
  <r>
    <s v="USR-100174"/>
    <d v="2025-01-26T00:00:00"/>
    <x v="0"/>
    <x v="0"/>
    <x v="0"/>
    <x v="0"/>
    <x v="1"/>
    <n v="1"/>
    <n v="0"/>
    <n v="0"/>
    <n v="0"/>
    <n v="0"/>
    <n v="0"/>
    <n v="2"/>
    <n v="1"/>
    <n v="0"/>
    <m/>
    <n v="28.7"/>
  </r>
  <r>
    <s v="USR-100175"/>
    <d v="2025-04-23T00:00:00"/>
    <x v="0"/>
    <x v="2"/>
    <x v="1"/>
    <x v="4"/>
    <x v="0"/>
    <n v="0"/>
    <n v="0"/>
    <n v="0"/>
    <n v="0"/>
    <n v="0"/>
    <n v="0"/>
    <n v="0"/>
    <n v="0"/>
    <n v="0"/>
    <m/>
    <n v="53"/>
  </r>
  <r>
    <s v="USR-100176"/>
    <d v="2025-03-16T00:00:00"/>
    <x v="0"/>
    <x v="3"/>
    <x v="2"/>
    <x v="3"/>
    <x v="0"/>
    <n v="1"/>
    <n v="0"/>
    <n v="0"/>
    <n v="0"/>
    <n v="0"/>
    <n v="0"/>
    <n v="0"/>
    <n v="0"/>
    <n v="0"/>
    <m/>
    <n v="54.9"/>
  </r>
  <r>
    <s v="USR-100177"/>
    <d v="2025-04-29T00:00:00"/>
    <x v="0"/>
    <x v="1"/>
    <x v="1"/>
    <x v="1"/>
    <x v="0"/>
    <n v="1"/>
    <n v="0"/>
    <n v="0"/>
    <n v="0"/>
    <n v="0"/>
    <n v="0"/>
    <n v="0"/>
    <n v="0"/>
    <n v="0"/>
    <m/>
    <n v="58.2"/>
  </r>
  <r>
    <s v="USR-100178"/>
    <d v="2025-04-06T00:00:00"/>
    <x v="0"/>
    <x v="0"/>
    <x v="1"/>
    <x v="1"/>
    <x v="1"/>
    <n v="0"/>
    <n v="0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x v="2"/>
    <n v="1"/>
    <n v="1"/>
    <n v="1"/>
    <n v="0"/>
    <n v="0"/>
    <n v="0"/>
    <n v="0"/>
    <n v="0"/>
    <n v="0"/>
    <m/>
    <n v="38.4"/>
  </r>
  <r>
    <s v="USR-100180"/>
    <d v="2025-04-03T00:00:00"/>
    <x v="0"/>
    <x v="3"/>
    <x v="1"/>
    <x v="2"/>
    <x v="1"/>
    <n v="1"/>
    <n v="0"/>
    <n v="0"/>
    <n v="0"/>
    <n v="0"/>
    <n v="0"/>
    <n v="0"/>
    <n v="0"/>
    <n v="0"/>
    <m/>
    <n v="56.1"/>
  </r>
  <r>
    <s v="USR-100181"/>
    <d v="2025-04-25T00:00:00"/>
    <x v="0"/>
    <x v="1"/>
    <x v="1"/>
    <x v="2"/>
    <x v="1"/>
    <n v="0"/>
    <n v="0"/>
    <n v="0"/>
    <n v="0"/>
    <n v="0"/>
    <n v="0"/>
    <n v="0"/>
    <n v="0"/>
    <n v="0"/>
    <m/>
    <n v="62.6"/>
  </r>
  <r>
    <s v="USR-100182"/>
    <d v="2025-04-30T00:00:00"/>
    <x v="0"/>
    <x v="3"/>
    <x v="1"/>
    <x v="1"/>
    <x v="2"/>
    <n v="0"/>
    <n v="0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x v="1"/>
    <n v="1"/>
    <n v="0"/>
    <n v="0"/>
    <n v="0"/>
    <n v="0"/>
    <n v="0"/>
    <n v="0"/>
    <n v="0"/>
    <n v="0"/>
    <m/>
    <n v="52.1"/>
  </r>
  <r>
    <s v="USR-100184"/>
    <d v="2025-05-04T00:00:00"/>
    <x v="0"/>
    <x v="3"/>
    <x v="1"/>
    <x v="1"/>
    <x v="1"/>
    <n v="1"/>
    <n v="0"/>
    <n v="0"/>
    <n v="0"/>
    <n v="0"/>
    <n v="0"/>
    <n v="0"/>
    <n v="0"/>
    <n v="0"/>
    <m/>
    <n v="45.1"/>
  </r>
  <r>
    <s v="USR-100185"/>
    <d v="2025-02-07T00:00:00"/>
    <x v="0"/>
    <x v="3"/>
    <x v="2"/>
    <x v="2"/>
    <x v="2"/>
    <n v="0"/>
    <n v="0"/>
    <n v="0"/>
    <n v="0"/>
    <n v="0"/>
    <n v="0"/>
    <n v="0"/>
    <n v="0"/>
    <n v="0"/>
    <m/>
    <n v="67.5"/>
  </r>
  <r>
    <s v="USR-100186"/>
    <d v="2025-04-28T00:00:00"/>
    <x v="0"/>
    <x v="2"/>
    <x v="2"/>
    <x v="0"/>
    <x v="0"/>
    <n v="1"/>
    <n v="1"/>
    <n v="1"/>
    <n v="0"/>
    <n v="0"/>
    <n v="0"/>
    <n v="0"/>
    <n v="0"/>
    <n v="0"/>
    <m/>
    <n v="80"/>
  </r>
  <r>
    <s v="USR-100187"/>
    <d v="2025-05-15T00:00:00"/>
    <x v="0"/>
    <x v="2"/>
    <x v="0"/>
    <x v="3"/>
    <x v="1"/>
    <n v="0"/>
    <n v="0"/>
    <n v="0"/>
    <n v="0"/>
    <n v="0"/>
    <n v="0"/>
    <n v="0"/>
    <n v="0"/>
    <n v="0"/>
    <m/>
    <n v="56.4"/>
  </r>
  <r>
    <s v="USR-100188"/>
    <d v="2025-01-18T00:00:00"/>
    <x v="0"/>
    <x v="1"/>
    <x v="1"/>
    <x v="2"/>
    <x v="0"/>
    <n v="0"/>
    <n v="0"/>
    <n v="0"/>
    <n v="0"/>
    <n v="0"/>
    <n v="0"/>
    <n v="0"/>
    <n v="0"/>
    <n v="0"/>
    <m/>
    <n v="55.4"/>
  </r>
  <r>
    <s v="USR-100189"/>
    <d v="2025-02-15T00:00:00"/>
    <x v="0"/>
    <x v="3"/>
    <x v="1"/>
    <x v="4"/>
    <x v="0"/>
    <n v="1"/>
    <n v="0"/>
    <n v="0"/>
    <n v="0"/>
    <n v="0"/>
    <n v="0"/>
    <n v="0"/>
    <n v="0"/>
    <n v="0"/>
    <m/>
    <n v="67.900000000000006"/>
  </r>
  <r>
    <s v="USR-100190"/>
    <d v="2025-02-18T00:00:00"/>
    <x v="0"/>
    <x v="0"/>
    <x v="2"/>
    <x v="0"/>
    <x v="1"/>
    <n v="1"/>
    <n v="0"/>
    <n v="0"/>
    <n v="0"/>
    <n v="0"/>
    <n v="0"/>
    <n v="0"/>
    <n v="0"/>
    <n v="0"/>
    <m/>
    <n v="62.5"/>
  </r>
  <r>
    <s v="USR-100191"/>
    <d v="2025-01-30T00:00:00"/>
    <x v="0"/>
    <x v="3"/>
    <x v="0"/>
    <x v="0"/>
    <x v="0"/>
    <n v="1"/>
    <n v="1"/>
    <n v="1"/>
    <n v="0"/>
    <n v="0"/>
    <n v="0"/>
    <n v="0"/>
    <n v="0"/>
    <n v="0"/>
    <m/>
    <n v="54.3"/>
  </r>
  <r>
    <s v="USR-100192"/>
    <d v="2025-02-09T00:00:00"/>
    <x v="0"/>
    <x v="3"/>
    <x v="0"/>
    <x v="1"/>
    <x v="0"/>
    <n v="1"/>
    <n v="0"/>
    <n v="0"/>
    <n v="0"/>
    <n v="0"/>
    <n v="0"/>
    <n v="0"/>
    <n v="0"/>
    <n v="0"/>
    <m/>
    <n v="37.5"/>
  </r>
  <r>
    <s v="USR-100193"/>
    <d v="2025-03-16T00:00:00"/>
    <x v="0"/>
    <x v="1"/>
    <x v="1"/>
    <x v="2"/>
    <x v="0"/>
    <n v="1"/>
    <n v="0"/>
    <n v="0"/>
    <n v="0"/>
    <n v="0"/>
    <n v="0"/>
    <n v="0"/>
    <n v="0"/>
    <n v="0"/>
    <m/>
    <n v="52.6"/>
  </r>
  <r>
    <s v="USR-100194"/>
    <d v="2025-05-19T00:00:00"/>
    <x v="0"/>
    <x v="0"/>
    <x v="1"/>
    <x v="2"/>
    <x v="1"/>
    <n v="1"/>
    <n v="0"/>
    <n v="0"/>
    <n v="0"/>
    <n v="0"/>
    <n v="0"/>
    <n v="0"/>
    <n v="0"/>
    <n v="0"/>
    <m/>
    <n v="46.1"/>
  </r>
  <r>
    <s v="USR-100195"/>
    <d v="2025-05-16T00:00:00"/>
    <x v="0"/>
    <x v="3"/>
    <x v="0"/>
    <x v="1"/>
    <x v="0"/>
    <n v="1"/>
    <n v="0"/>
    <n v="0"/>
    <n v="0"/>
    <n v="0"/>
    <n v="0"/>
    <n v="0"/>
    <n v="0"/>
    <n v="0"/>
    <m/>
    <n v="54.7"/>
  </r>
  <r>
    <s v="USR-100196"/>
    <d v="2025-04-25T00:00:00"/>
    <x v="0"/>
    <x v="1"/>
    <x v="0"/>
    <x v="3"/>
    <x v="0"/>
    <n v="0"/>
    <n v="0"/>
    <n v="0"/>
    <n v="0"/>
    <n v="0"/>
    <n v="0"/>
    <n v="0"/>
    <n v="0"/>
    <n v="0"/>
    <m/>
    <n v="74.2"/>
  </r>
  <r>
    <s v="USR-100197"/>
    <d v="2025-02-27T00:00:00"/>
    <x v="0"/>
    <x v="0"/>
    <x v="1"/>
    <x v="4"/>
    <x v="0"/>
    <n v="1"/>
    <n v="1"/>
    <n v="1"/>
    <n v="1"/>
    <n v="1052.8"/>
    <n v="1052.8"/>
    <n v="2"/>
    <n v="1"/>
    <n v="0"/>
    <n v="6"/>
    <n v="64.7"/>
  </r>
  <r>
    <s v="USR-100198"/>
    <d v="2025-04-26T00:00:00"/>
    <x v="0"/>
    <x v="3"/>
    <x v="1"/>
    <x v="2"/>
    <x v="0"/>
    <n v="0"/>
    <n v="0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x v="0"/>
    <n v="1"/>
    <n v="0"/>
    <n v="0"/>
    <n v="0"/>
    <n v="0"/>
    <n v="0"/>
    <n v="0"/>
    <n v="0"/>
    <n v="0"/>
    <m/>
    <n v="64"/>
  </r>
  <r>
    <s v="USR-100200"/>
    <d v="2025-03-05T00:00:00"/>
    <x v="0"/>
    <x v="0"/>
    <x v="1"/>
    <x v="1"/>
    <x v="2"/>
    <n v="1"/>
    <n v="0"/>
    <n v="0"/>
    <n v="0"/>
    <n v="0"/>
    <n v="0"/>
    <n v="0"/>
    <n v="0"/>
    <n v="0"/>
    <m/>
    <n v="57.2"/>
  </r>
  <r>
    <s v="USR-100201"/>
    <d v="2025-04-02T00:00:00"/>
    <x v="0"/>
    <x v="1"/>
    <x v="0"/>
    <x v="1"/>
    <x v="1"/>
    <n v="1"/>
    <n v="0"/>
    <n v="0"/>
    <n v="0"/>
    <n v="0"/>
    <n v="0"/>
    <n v="0"/>
    <n v="0"/>
    <n v="0"/>
    <m/>
    <n v="80.5"/>
  </r>
  <r>
    <s v="USR-100202"/>
    <d v="2025-05-14T00:00:00"/>
    <x v="0"/>
    <x v="3"/>
    <x v="2"/>
    <x v="1"/>
    <x v="1"/>
    <n v="0"/>
    <n v="0"/>
    <n v="0"/>
    <n v="0"/>
    <n v="0"/>
    <n v="0"/>
    <n v="0"/>
    <n v="0"/>
    <n v="0"/>
    <m/>
    <n v="53.9"/>
  </r>
  <r>
    <s v="USR-100203"/>
    <d v="2025-05-21T00:00:00"/>
    <x v="0"/>
    <x v="0"/>
    <x v="1"/>
    <x v="2"/>
    <x v="1"/>
    <n v="1"/>
    <n v="1"/>
    <n v="0"/>
    <n v="0"/>
    <n v="0"/>
    <n v="0"/>
    <n v="0"/>
    <n v="0"/>
    <n v="0"/>
    <m/>
    <n v="77.5"/>
  </r>
  <r>
    <s v="USR-100204"/>
    <d v="2025-01-27T00:00:00"/>
    <x v="0"/>
    <x v="2"/>
    <x v="1"/>
    <x v="4"/>
    <x v="0"/>
    <n v="0"/>
    <n v="0"/>
    <n v="0"/>
    <n v="0"/>
    <n v="0"/>
    <n v="0"/>
    <n v="0"/>
    <n v="0"/>
    <n v="0"/>
    <m/>
    <n v="84.2"/>
  </r>
  <r>
    <s v="USR-100205"/>
    <d v="2025-05-22T00:00:00"/>
    <x v="0"/>
    <x v="1"/>
    <x v="0"/>
    <x v="1"/>
    <x v="1"/>
    <n v="1"/>
    <n v="1"/>
    <n v="0"/>
    <n v="0"/>
    <n v="0"/>
    <n v="0"/>
    <n v="0"/>
    <n v="0"/>
    <n v="0"/>
    <m/>
    <n v="54.9"/>
  </r>
  <r>
    <s v="USR-100206"/>
    <d v="2025-05-19T00:00:00"/>
    <x v="0"/>
    <x v="3"/>
    <x v="1"/>
    <x v="2"/>
    <x v="1"/>
    <n v="0"/>
    <n v="0"/>
    <n v="0"/>
    <n v="0"/>
    <n v="0"/>
    <n v="0"/>
    <n v="0"/>
    <n v="0"/>
    <n v="0"/>
    <m/>
    <n v="69.3"/>
  </r>
  <r>
    <s v="USR-100207"/>
    <d v="2025-01-14T00:00:00"/>
    <x v="0"/>
    <x v="3"/>
    <x v="0"/>
    <x v="2"/>
    <x v="1"/>
    <n v="1"/>
    <n v="0"/>
    <n v="0"/>
    <n v="0"/>
    <n v="0"/>
    <n v="0"/>
    <n v="2"/>
    <n v="1"/>
    <n v="0"/>
    <m/>
    <n v="42.3"/>
  </r>
  <r>
    <s v="USR-100208"/>
    <d v="2025-01-21T00:00:00"/>
    <x v="0"/>
    <x v="0"/>
    <x v="0"/>
    <x v="3"/>
    <x v="2"/>
    <n v="1"/>
    <n v="0"/>
    <n v="0"/>
    <n v="0"/>
    <n v="0"/>
    <n v="0"/>
    <n v="1"/>
    <n v="1"/>
    <n v="0"/>
    <m/>
    <n v="69.599999999999994"/>
  </r>
  <r>
    <s v="USR-100209"/>
    <d v="2025-05-16T00:00:00"/>
    <x v="0"/>
    <x v="2"/>
    <x v="1"/>
    <x v="1"/>
    <x v="1"/>
    <n v="0"/>
    <n v="0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x v="1"/>
    <n v="1"/>
    <n v="0"/>
    <n v="0"/>
    <n v="0"/>
    <n v="0"/>
    <n v="0"/>
    <n v="0"/>
    <n v="0"/>
    <n v="0"/>
    <m/>
    <n v="54"/>
  </r>
  <r>
    <s v="USR-100211"/>
    <d v="2025-03-23T00:00:00"/>
    <x v="0"/>
    <x v="2"/>
    <x v="3"/>
    <x v="3"/>
    <x v="1"/>
    <n v="1"/>
    <n v="1"/>
    <n v="1"/>
    <n v="1"/>
    <n v="553.37"/>
    <n v="553.37"/>
    <n v="0"/>
    <n v="0"/>
    <n v="0"/>
    <n v="5"/>
    <n v="46.3"/>
  </r>
  <r>
    <s v="USR-100212"/>
    <d v="2025-01-24T00:00:00"/>
    <x v="0"/>
    <x v="2"/>
    <x v="1"/>
    <x v="1"/>
    <x v="1"/>
    <n v="1"/>
    <n v="0"/>
    <n v="0"/>
    <n v="0"/>
    <n v="0"/>
    <n v="0"/>
    <n v="0"/>
    <n v="0"/>
    <n v="0"/>
    <m/>
    <n v="64.2"/>
  </r>
  <r>
    <s v="USR-100213"/>
    <d v="2025-04-12T00:00:00"/>
    <x v="0"/>
    <x v="0"/>
    <x v="0"/>
    <x v="1"/>
    <x v="1"/>
    <n v="1"/>
    <n v="0"/>
    <n v="0"/>
    <n v="0"/>
    <n v="0"/>
    <n v="0"/>
    <n v="0"/>
    <n v="0"/>
    <n v="0"/>
    <m/>
    <n v="75.2"/>
  </r>
  <r>
    <s v="USR-100214"/>
    <d v="2025-02-18T00:00:00"/>
    <x v="0"/>
    <x v="2"/>
    <x v="0"/>
    <x v="2"/>
    <x v="1"/>
    <n v="1"/>
    <n v="1"/>
    <n v="0"/>
    <n v="0"/>
    <n v="0"/>
    <n v="0"/>
    <n v="0"/>
    <n v="0"/>
    <n v="0"/>
    <m/>
    <n v="60.9"/>
  </r>
  <r>
    <s v="USR-100215"/>
    <d v="2025-05-28T00:00:00"/>
    <x v="0"/>
    <x v="3"/>
    <x v="1"/>
    <x v="0"/>
    <x v="0"/>
    <n v="1"/>
    <n v="1"/>
    <n v="1"/>
    <n v="0"/>
    <n v="0"/>
    <n v="0"/>
    <n v="0"/>
    <n v="0"/>
    <n v="0"/>
    <m/>
    <n v="62.1"/>
  </r>
  <r>
    <s v="USR-100216"/>
    <d v="2025-04-18T00:00:00"/>
    <x v="0"/>
    <x v="3"/>
    <x v="1"/>
    <x v="4"/>
    <x v="0"/>
    <n v="0"/>
    <n v="0"/>
    <n v="0"/>
    <n v="0"/>
    <n v="0"/>
    <n v="0"/>
    <n v="0"/>
    <n v="0"/>
    <n v="0"/>
    <m/>
    <n v="45.4"/>
  </r>
  <r>
    <s v="USR-100217"/>
    <d v="2025-03-27T00:00:00"/>
    <x v="0"/>
    <x v="0"/>
    <x v="1"/>
    <x v="2"/>
    <x v="0"/>
    <n v="1"/>
    <n v="0"/>
    <n v="0"/>
    <n v="0"/>
    <n v="0"/>
    <n v="0"/>
    <n v="0"/>
    <n v="0"/>
    <n v="0"/>
    <m/>
    <n v="53.3"/>
  </r>
  <r>
    <s v="USR-100218"/>
    <d v="2025-02-25T00:00:00"/>
    <x v="0"/>
    <x v="0"/>
    <x v="2"/>
    <x v="4"/>
    <x v="1"/>
    <n v="1"/>
    <n v="0"/>
    <n v="0"/>
    <n v="0"/>
    <n v="0"/>
    <n v="0"/>
    <n v="0"/>
    <n v="0"/>
    <n v="0"/>
    <m/>
    <m/>
  </r>
  <r>
    <s v="USR-100219"/>
    <d v="2025-02-19T00:00:00"/>
    <x v="0"/>
    <x v="2"/>
    <x v="1"/>
    <x v="2"/>
    <x v="1"/>
    <n v="0"/>
    <n v="0"/>
    <n v="0"/>
    <n v="0"/>
    <n v="0"/>
    <n v="0"/>
    <n v="1"/>
    <n v="1"/>
    <n v="0"/>
    <m/>
    <n v="38.200000000000003"/>
  </r>
  <r>
    <s v="USR-100220"/>
    <d v="2025-04-11T00:00:00"/>
    <x v="0"/>
    <x v="1"/>
    <x v="1"/>
    <x v="2"/>
    <x v="1"/>
    <n v="1"/>
    <n v="1"/>
    <n v="0"/>
    <n v="0"/>
    <n v="0"/>
    <n v="0"/>
    <n v="3"/>
    <n v="1"/>
    <n v="0"/>
    <m/>
    <n v="59"/>
  </r>
  <r>
    <s v="USR-100221"/>
    <d v="2025-01-22T00:00:00"/>
    <x v="0"/>
    <x v="2"/>
    <x v="2"/>
    <x v="3"/>
    <x v="2"/>
    <n v="1"/>
    <n v="1"/>
    <n v="1"/>
    <n v="0"/>
    <n v="0"/>
    <n v="0"/>
    <n v="0"/>
    <n v="0"/>
    <n v="0"/>
    <m/>
    <n v="80.599999999999994"/>
  </r>
  <r>
    <s v="USR-100222"/>
    <d v="2025-01-12T00:00:00"/>
    <x v="0"/>
    <x v="3"/>
    <x v="1"/>
    <x v="4"/>
    <x v="1"/>
    <n v="1"/>
    <n v="0"/>
    <n v="0"/>
    <n v="0"/>
    <n v="0"/>
    <n v="0"/>
    <n v="0"/>
    <n v="0"/>
    <n v="0"/>
    <m/>
    <n v="67"/>
  </r>
  <r>
    <s v="USR-100223"/>
    <d v="2025-02-17T00:00:00"/>
    <x v="0"/>
    <x v="1"/>
    <x v="1"/>
    <x v="0"/>
    <x v="1"/>
    <n v="1"/>
    <n v="0"/>
    <n v="0"/>
    <n v="0"/>
    <n v="0"/>
    <n v="0"/>
    <n v="1"/>
    <n v="1"/>
    <n v="0"/>
    <m/>
    <n v="72.099999999999994"/>
  </r>
  <r>
    <s v="USR-100224"/>
    <d v="2025-04-11T00:00:00"/>
    <x v="0"/>
    <x v="1"/>
    <x v="0"/>
    <x v="1"/>
    <x v="1"/>
    <n v="0"/>
    <n v="0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x v="2"/>
    <n v="0"/>
    <n v="0"/>
    <n v="0"/>
    <n v="0"/>
    <n v="0"/>
    <n v="0"/>
    <n v="0"/>
    <n v="0"/>
    <n v="0"/>
    <m/>
    <n v="84.8"/>
  </r>
  <r>
    <s v="USR-100226"/>
    <d v="2025-03-12T00:00:00"/>
    <x v="0"/>
    <x v="3"/>
    <x v="1"/>
    <x v="1"/>
    <x v="0"/>
    <n v="1"/>
    <n v="0"/>
    <n v="0"/>
    <n v="0"/>
    <n v="0"/>
    <n v="0"/>
    <n v="0"/>
    <n v="0"/>
    <n v="0"/>
    <m/>
    <n v="33"/>
  </r>
  <r>
    <s v="USR-100227"/>
    <d v="2025-04-20T00:00:00"/>
    <x v="0"/>
    <x v="0"/>
    <x v="2"/>
    <x v="0"/>
    <x v="1"/>
    <n v="0"/>
    <n v="0"/>
    <n v="0"/>
    <n v="0"/>
    <n v="0"/>
    <n v="0"/>
    <n v="0"/>
    <n v="0"/>
    <n v="0"/>
    <m/>
    <n v="52.5"/>
  </r>
  <r>
    <s v="USR-100228"/>
    <d v="2025-02-23T00:00:00"/>
    <x v="0"/>
    <x v="0"/>
    <x v="2"/>
    <x v="1"/>
    <x v="1"/>
    <n v="0"/>
    <n v="0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x v="0"/>
    <n v="1"/>
    <n v="1"/>
    <n v="1"/>
    <n v="0"/>
    <n v="0"/>
    <n v="0"/>
    <n v="1"/>
    <n v="1"/>
    <n v="0"/>
    <m/>
    <n v="32.700000000000003"/>
  </r>
  <r>
    <s v="USR-100230"/>
    <d v="2025-01-16T00:00:00"/>
    <x v="0"/>
    <x v="1"/>
    <x v="1"/>
    <x v="1"/>
    <x v="2"/>
    <n v="1"/>
    <n v="1"/>
    <n v="1"/>
    <n v="0"/>
    <n v="0"/>
    <n v="0"/>
    <n v="1"/>
    <n v="1"/>
    <n v="0"/>
    <m/>
    <n v="70.599999999999994"/>
  </r>
  <r>
    <s v="USR-100231"/>
    <d v="2025-02-17T00:00:00"/>
    <x v="0"/>
    <x v="0"/>
    <x v="1"/>
    <x v="4"/>
    <x v="1"/>
    <n v="0"/>
    <n v="0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x v="0"/>
    <n v="1"/>
    <n v="0"/>
    <n v="0"/>
    <n v="0"/>
    <n v="0"/>
    <n v="0"/>
    <n v="0"/>
    <n v="0"/>
    <n v="0"/>
    <m/>
    <n v="56.1"/>
  </r>
  <r>
    <s v="USR-100233"/>
    <d v="2025-01-12T00:00:00"/>
    <x v="0"/>
    <x v="1"/>
    <x v="1"/>
    <x v="1"/>
    <x v="0"/>
    <n v="0"/>
    <n v="0"/>
    <n v="0"/>
    <n v="0"/>
    <n v="0"/>
    <n v="0"/>
    <n v="0"/>
    <n v="0"/>
    <n v="0"/>
    <m/>
    <n v="55.8"/>
  </r>
  <r>
    <s v="USR-100234"/>
    <d v="2025-04-28T00:00:00"/>
    <x v="0"/>
    <x v="0"/>
    <x v="2"/>
    <x v="1"/>
    <x v="1"/>
    <n v="0"/>
    <n v="0"/>
    <n v="0"/>
    <n v="0"/>
    <n v="0"/>
    <n v="0"/>
    <n v="0"/>
    <n v="0"/>
    <n v="0"/>
    <m/>
    <n v="49.3"/>
  </r>
  <r>
    <s v="USR-100235"/>
    <d v="2025-02-26T00:00:00"/>
    <x v="0"/>
    <x v="0"/>
    <x v="1"/>
    <x v="1"/>
    <x v="1"/>
    <n v="0"/>
    <n v="0"/>
    <n v="0"/>
    <n v="0"/>
    <n v="0"/>
    <n v="0"/>
    <n v="0"/>
    <n v="0"/>
    <n v="0"/>
    <m/>
    <n v="71.8"/>
  </r>
  <r>
    <s v="USR-100236"/>
    <d v="2025-03-18T00:00:00"/>
    <x v="0"/>
    <x v="1"/>
    <x v="1"/>
    <x v="4"/>
    <x v="1"/>
    <n v="1"/>
    <n v="0"/>
    <n v="0"/>
    <n v="0"/>
    <n v="0"/>
    <n v="0"/>
    <n v="3"/>
    <n v="1"/>
    <n v="0"/>
    <m/>
    <n v="39.700000000000003"/>
  </r>
  <r>
    <s v="USR-100237"/>
    <d v="2025-03-01T00:00:00"/>
    <x v="0"/>
    <x v="3"/>
    <x v="0"/>
    <x v="1"/>
    <x v="2"/>
    <n v="1"/>
    <n v="0"/>
    <n v="0"/>
    <n v="0"/>
    <n v="0"/>
    <n v="0"/>
    <n v="0"/>
    <n v="0"/>
    <n v="0"/>
    <m/>
    <n v="45.4"/>
  </r>
  <r>
    <s v="USR-100238"/>
    <d v="2025-04-05T00:00:00"/>
    <x v="0"/>
    <x v="0"/>
    <x v="0"/>
    <x v="4"/>
    <x v="2"/>
    <n v="1"/>
    <n v="0"/>
    <n v="0"/>
    <n v="0"/>
    <n v="0"/>
    <n v="0"/>
    <n v="0"/>
    <n v="0"/>
    <n v="0"/>
    <m/>
    <n v="69.900000000000006"/>
  </r>
  <r>
    <s v="USR-100239"/>
    <d v="2025-03-12T00:00:00"/>
    <x v="0"/>
    <x v="0"/>
    <x v="0"/>
    <x v="4"/>
    <x v="1"/>
    <n v="1"/>
    <n v="1"/>
    <n v="1"/>
    <n v="0"/>
    <n v="0"/>
    <n v="0"/>
    <n v="0"/>
    <n v="0"/>
    <n v="0"/>
    <m/>
    <n v="56.1"/>
  </r>
  <r>
    <s v="USR-100240"/>
    <d v="2025-03-15T00:00:00"/>
    <x v="0"/>
    <x v="1"/>
    <x v="1"/>
    <x v="3"/>
    <x v="0"/>
    <n v="1"/>
    <n v="1"/>
    <n v="0"/>
    <n v="0"/>
    <n v="0"/>
    <n v="0"/>
    <n v="0"/>
    <n v="0"/>
    <n v="0"/>
    <m/>
    <n v="45.9"/>
  </r>
  <r>
    <s v="USR-100241"/>
    <d v="2025-02-23T00:00:00"/>
    <x v="0"/>
    <x v="1"/>
    <x v="1"/>
    <x v="0"/>
    <x v="1"/>
    <n v="0"/>
    <n v="0"/>
    <n v="0"/>
    <n v="0"/>
    <n v="0"/>
    <n v="0"/>
    <n v="0"/>
    <n v="0"/>
    <n v="0"/>
    <m/>
    <n v="65.8"/>
  </r>
  <r>
    <s v="USR-100242"/>
    <d v="2025-04-22T00:00:00"/>
    <x v="0"/>
    <x v="0"/>
    <x v="1"/>
    <x v="1"/>
    <x v="0"/>
    <n v="1"/>
    <n v="0"/>
    <n v="0"/>
    <n v="0"/>
    <n v="0"/>
    <n v="0"/>
    <n v="0"/>
    <n v="0"/>
    <n v="0"/>
    <m/>
    <n v="48.2"/>
  </r>
  <r>
    <s v="USR-100243"/>
    <d v="2025-01-09T00:00:00"/>
    <x v="0"/>
    <x v="2"/>
    <x v="1"/>
    <x v="1"/>
    <x v="0"/>
    <n v="1"/>
    <n v="1"/>
    <n v="1"/>
    <n v="0"/>
    <n v="0"/>
    <n v="0"/>
    <n v="0"/>
    <n v="0"/>
    <n v="0"/>
    <m/>
    <n v="81.099999999999994"/>
  </r>
  <r>
    <s v="USR-100244"/>
    <d v="2025-03-05T00:00:00"/>
    <x v="0"/>
    <x v="2"/>
    <x v="2"/>
    <x v="4"/>
    <x v="2"/>
    <n v="1"/>
    <n v="1"/>
    <n v="0"/>
    <n v="0"/>
    <n v="0"/>
    <n v="0"/>
    <n v="0"/>
    <n v="0"/>
    <n v="0"/>
    <m/>
    <n v="53.2"/>
  </r>
  <r>
    <s v="USR-100245"/>
    <d v="2025-01-28T00:00:00"/>
    <x v="0"/>
    <x v="0"/>
    <x v="1"/>
    <x v="4"/>
    <x v="1"/>
    <n v="1"/>
    <n v="1"/>
    <n v="1"/>
    <n v="0"/>
    <n v="0"/>
    <n v="0"/>
    <n v="0"/>
    <n v="0"/>
    <n v="0"/>
    <m/>
    <n v="57.7"/>
  </r>
  <r>
    <s v="USR-100246"/>
    <d v="2025-01-21T00:00:00"/>
    <x v="0"/>
    <x v="1"/>
    <x v="1"/>
    <x v="2"/>
    <x v="2"/>
    <n v="1"/>
    <n v="1"/>
    <n v="0"/>
    <n v="0"/>
    <n v="0"/>
    <n v="0"/>
    <n v="0"/>
    <n v="0"/>
    <n v="0"/>
    <m/>
    <n v="78.900000000000006"/>
  </r>
  <r>
    <s v="USR-100247"/>
    <d v="2025-03-14T00:00:00"/>
    <x v="0"/>
    <x v="3"/>
    <x v="1"/>
    <x v="3"/>
    <x v="0"/>
    <n v="0"/>
    <n v="0"/>
    <n v="0"/>
    <n v="0"/>
    <n v="0"/>
    <n v="0"/>
    <n v="0"/>
    <n v="0"/>
    <n v="0"/>
    <m/>
    <n v="55.7"/>
  </r>
  <r>
    <s v="USR-100248"/>
    <d v="2025-02-03T00:00:00"/>
    <x v="0"/>
    <x v="1"/>
    <x v="1"/>
    <x v="2"/>
    <x v="1"/>
    <n v="0"/>
    <n v="0"/>
    <n v="0"/>
    <n v="0"/>
    <n v="0"/>
    <n v="0"/>
    <n v="0"/>
    <n v="0"/>
    <n v="0"/>
    <m/>
    <n v="52.3"/>
  </r>
  <r>
    <s v="USR-100249"/>
    <d v="2025-05-22T00:00:00"/>
    <x v="0"/>
    <x v="0"/>
    <x v="1"/>
    <x v="4"/>
    <x v="1"/>
    <n v="1"/>
    <n v="0"/>
    <n v="0"/>
    <n v="0"/>
    <n v="0"/>
    <n v="0"/>
    <n v="0"/>
    <n v="0"/>
    <n v="0"/>
    <m/>
    <n v="51.5"/>
  </r>
  <r>
    <s v="USR-100250"/>
    <d v="2025-04-25T00:00:00"/>
    <x v="0"/>
    <x v="0"/>
    <x v="0"/>
    <x v="0"/>
    <x v="1"/>
    <n v="1"/>
    <n v="0"/>
    <n v="0"/>
    <n v="0"/>
    <n v="0"/>
    <n v="0"/>
    <n v="0"/>
    <n v="0"/>
    <n v="0"/>
    <m/>
    <n v="70.8"/>
  </r>
  <r>
    <s v="USR-100251"/>
    <d v="2025-01-30T00:00:00"/>
    <x v="0"/>
    <x v="0"/>
    <x v="0"/>
    <x v="0"/>
    <x v="0"/>
    <n v="1"/>
    <n v="1"/>
    <n v="1"/>
    <n v="1"/>
    <n v="1250.78"/>
    <n v="1250.78"/>
    <n v="0"/>
    <n v="0"/>
    <n v="0"/>
    <n v="10"/>
    <n v="39"/>
  </r>
  <r>
    <s v="USR-100252"/>
    <d v="2025-05-23T00:00:00"/>
    <x v="0"/>
    <x v="1"/>
    <x v="1"/>
    <x v="1"/>
    <x v="1"/>
    <n v="1"/>
    <n v="0"/>
    <n v="0"/>
    <n v="0"/>
    <n v="0"/>
    <n v="0"/>
    <n v="0"/>
    <n v="0"/>
    <n v="0"/>
    <m/>
    <n v="61.6"/>
  </r>
  <r>
    <s v="USR-100253"/>
    <d v="2025-02-14T00:00:00"/>
    <x v="0"/>
    <x v="2"/>
    <x v="0"/>
    <x v="1"/>
    <x v="1"/>
    <n v="1"/>
    <n v="1"/>
    <n v="1"/>
    <n v="0"/>
    <n v="0"/>
    <n v="0"/>
    <n v="0"/>
    <n v="0"/>
    <n v="0"/>
    <m/>
    <n v="46.8"/>
  </r>
  <r>
    <s v="USR-100254"/>
    <d v="2025-03-05T00:00:00"/>
    <x v="0"/>
    <x v="0"/>
    <x v="1"/>
    <x v="2"/>
    <x v="2"/>
    <n v="0"/>
    <n v="0"/>
    <n v="0"/>
    <n v="0"/>
    <n v="0"/>
    <n v="0"/>
    <n v="1"/>
    <n v="1"/>
    <n v="0"/>
    <m/>
    <n v="58.5"/>
  </r>
  <r>
    <s v="USR-100255"/>
    <d v="2025-05-27T00:00:00"/>
    <x v="0"/>
    <x v="0"/>
    <x v="1"/>
    <x v="2"/>
    <x v="0"/>
    <n v="0"/>
    <n v="0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x v="1"/>
    <n v="1"/>
    <n v="0"/>
    <n v="0"/>
    <n v="0"/>
    <n v="0"/>
    <n v="0"/>
    <n v="0"/>
    <n v="0"/>
    <n v="0"/>
    <m/>
    <n v="48.4"/>
  </r>
  <r>
    <s v="USR-100257"/>
    <d v="2025-04-21T00:00:00"/>
    <x v="0"/>
    <x v="0"/>
    <x v="1"/>
    <x v="0"/>
    <x v="1"/>
    <n v="1"/>
    <n v="0"/>
    <n v="0"/>
    <n v="0"/>
    <n v="0"/>
    <n v="0"/>
    <n v="0"/>
    <n v="0"/>
    <n v="0"/>
    <m/>
    <n v="58"/>
  </r>
  <r>
    <s v="USR-100258"/>
    <d v="2025-05-13T00:00:00"/>
    <x v="0"/>
    <x v="0"/>
    <x v="1"/>
    <x v="2"/>
    <x v="1"/>
    <n v="0"/>
    <n v="0"/>
    <n v="0"/>
    <n v="0"/>
    <n v="0"/>
    <n v="0"/>
    <n v="0"/>
    <n v="0"/>
    <n v="0"/>
    <m/>
    <n v="61.6"/>
  </r>
  <r>
    <s v="USR-100259"/>
    <d v="2025-01-28T00:00:00"/>
    <x v="0"/>
    <x v="2"/>
    <x v="0"/>
    <x v="1"/>
    <x v="1"/>
    <n v="1"/>
    <n v="0"/>
    <n v="0"/>
    <n v="0"/>
    <n v="0"/>
    <n v="0"/>
    <n v="0"/>
    <n v="0"/>
    <n v="0"/>
    <m/>
    <n v="43.2"/>
  </r>
  <r>
    <s v="USR-100260"/>
    <d v="2025-03-16T00:00:00"/>
    <x v="0"/>
    <x v="2"/>
    <x v="0"/>
    <x v="2"/>
    <x v="0"/>
    <n v="1"/>
    <n v="0"/>
    <n v="0"/>
    <n v="0"/>
    <n v="0"/>
    <n v="0"/>
    <n v="1"/>
    <n v="1"/>
    <n v="0"/>
    <m/>
    <n v="53.3"/>
  </r>
  <r>
    <s v="USR-100261"/>
    <d v="2025-04-10T00:00:00"/>
    <x v="0"/>
    <x v="2"/>
    <x v="0"/>
    <x v="4"/>
    <x v="0"/>
    <n v="0"/>
    <n v="0"/>
    <n v="0"/>
    <n v="0"/>
    <n v="0"/>
    <n v="0"/>
    <n v="0"/>
    <n v="0"/>
    <n v="0"/>
    <m/>
    <n v="33.9"/>
  </r>
  <r>
    <s v="USR-100262"/>
    <d v="2025-03-15T00:00:00"/>
    <x v="0"/>
    <x v="2"/>
    <x v="0"/>
    <x v="3"/>
    <x v="1"/>
    <n v="1"/>
    <n v="1"/>
    <n v="1"/>
    <n v="0"/>
    <n v="0"/>
    <n v="0"/>
    <n v="0"/>
    <n v="0"/>
    <n v="0"/>
    <m/>
    <n v="35.4"/>
  </r>
  <r>
    <s v="USR-100263"/>
    <d v="2025-04-07T00:00:00"/>
    <x v="0"/>
    <x v="1"/>
    <x v="0"/>
    <x v="1"/>
    <x v="0"/>
    <n v="1"/>
    <n v="0"/>
    <n v="0"/>
    <n v="0"/>
    <n v="0"/>
    <n v="0"/>
    <n v="0"/>
    <n v="0"/>
    <n v="0"/>
    <m/>
    <n v="45"/>
  </r>
  <r>
    <s v="USR-100264"/>
    <d v="2025-02-12T00:00:00"/>
    <x v="0"/>
    <x v="3"/>
    <x v="1"/>
    <x v="1"/>
    <x v="1"/>
    <n v="1"/>
    <n v="1"/>
    <n v="0"/>
    <n v="0"/>
    <n v="0"/>
    <n v="0"/>
    <n v="0"/>
    <n v="0"/>
    <n v="0"/>
    <m/>
    <n v="86.5"/>
  </r>
  <r>
    <s v="USR-100265"/>
    <d v="2025-05-05T00:00:00"/>
    <x v="0"/>
    <x v="1"/>
    <x v="1"/>
    <x v="4"/>
    <x v="1"/>
    <n v="0"/>
    <n v="0"/>
    <n v="0"/>
    <n v="0"/>
    <n v="0"/>
    <n v="0"/>
    <n v="0"/>
    <n v="0"/>
    <n v="0"/>
    <m/>
    <n v="58.1"/>
  </r>
  <r>
    <s v="USR-100266"/>
    <d v="2025-03-11T00:00:00"/>
    <x v="0"/>
    <x v="1"/>
    <x v="1"/>
    <x v="3"/>
    <x v="1"/>
    <n v="1"/>
    <n v="0"/>
    <n v="0"/>
    <n v="0"/>
    <n v="0"/>
    <n v="0"/>
    <n v="0"/>
    <n v="0"/>
    <n v="0"/>
    <m/>
    <n v="36.1"/>
  </r>
  <r>
    <s v="USR-100267"/>
    <d v="2025-02-10T00:00:00"/>
    <x v="0"/>
    <x v="2"/>
    <x v="1"/>
    <x v="4"/>
    <x v="1"/>
    <n v="0"/>
    <n v="0"/>
    <n v="0"/>
    <n v="0"/>
    <n v="0"/>
    <n v="0"/>
    <n v="0"/>
    <n v="0"/>
    <n v="0"/>
    <m/>
    <n v="62.8"/>
  </r>
  <r>
    <s v="USR-100268"/>
    <d v="2025-04-06T00:00:00"/>
    <x v="0"/>
    <x v="3"/>
    <x v="1"/>
    <x v="1"/>
    <x v="1"/>
    <n v="0"/>
    <n v="0"/>
    <n v="0"/>
    <n v="0"/>
    <n v="0"/>
    <n v="0"/>
    <n v="0"/>
    <n v="0"/>
    <n v="0"/>
    <m/>
    <n v="54.2"/>
  </r>
  <r>
    <s v="USR-100269"/>
    <d v="2025-01-06T00:00:00"/>
    <x v="0"/>
    <x v="2"/>
    <x v="1"/>
    <x v="3"/>
    <x v="1"/>
    <n v="0"/>
    <n v="0"/>
    <n v="0"/>
    <n v="0"/>
    <n v="0"/>
    <n v="0"/>
    <n v="0"/>
    <n v="0"/>
    <n v="0"/>
    <m/>
    <n v="50"/>
  </r>
  <r>
    <s v="USR-100270"/>
    <d v="2025-03-25T00:00:00"/>
    <x v="0"/>
    <x v="2"/>
    <x v="2"/>
    <x v="2"/>
    <x v="0"/>
    <n v="1"/>
    <n v="0"/>
    <n v="0"/>
    <n v="0"/>
    <n v="0"/>
    <n v="0"/>
    <n v="0"/>
    <n v="0"/>
    <n v="0"/>
    <m/>
    <n v="62"/>
  </r>
  <r>
    <s v="USR-100271"/>
    <d v="2025-02-13T00:00:00"/>
    <x v="0"/>
    <x v="2"/>
    <x v="0"/>
    <x v="3"/>
    <x v="1"/>
    <n v="1"/>
    <n v="0"/>
    <n v="0"/>
    <n v="0"/>
    <n v="0"/>
    <n v="0"/>
    <n v="0"/>
    <n v="0"/>
    <n v="0"/>
    <m/>
    <n v="29.3"/>
  </r>
  <r>
    <s v="USR-100272"/>
    <d v="2025-03-17T00:00:00"/>
    <x v="0"/>
    <x v="1"/>
    <x v="0"/>
    <x v="1"/>
    <x v="1"/>
    <n v="1"/>
    <n v="0"/>
    <n v="0"/>
    <n v="0"/>
    <n v="0"/>
    <n v="0"/>
    <n v="0"/>
    <n v="0"/>
    <n v="0"/>
    <m/>
    <n v="67.900000000000006"/>
  </r>
  <r>
    <s v="USR-100273"/>
    <d v="2025-05-10T00:00:00"/>
    <x v="0"/>
    <x v="0"/>
    <x v="1"/>
    <x v="3"/>
    <x v="1"/>
    <n v="1"/>
    <n v="1"/>
    <n v="1"/>
    <n v="0"/>
    <n v="0"/>
    <n v="0"/>
    <n v="0"/>
    <n v="0"/>
    <n v="0"/>
    <m/>
    <n v="67.599999999999994"/>
  </r>
  <r>
    <s v="USR-100274"/>
    <d v="2025-05-07T00:00:00"/>
    <x v="0"/>
    <x v="3"/>
    <x v="1"/>
    <x v="2"/>
    <x v="0"/>
    <n v="0"/>
    <n v="0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x v="2"/>
    <n v="0"/>
    <n v="0"/>
    <n v="0"/>
    <n v="0"/>
    <n v="0"/>
    <n v="0"/>
    <n v="2"/>
    <n v="1"/>
    <n v="0"/>
    <m/>
    <n v="53"/>
  </r>
  <r>
    <s v="USR-100276"/>
    <d v="2025-05-11T00:00:00"/>
    <x v="0"/>
    <x v="0"/>
    <x v="1"/>
    <x v="1"/>
    <x v="0"/>
    <n v="0"/>
    <n v="0"/>
    <n v="0"/>
    <n v="0"/>
    <n v="0"/>
    <n v="0"/>
    <n v="0"/>
    <n v="0"/>
    <n v="0"/>
    <m/>
    <n v="65.5"/>
  </r>
  <r>
    <s v="USR-100277"/>
    <d v="2025-03-20T00:00:00"/>
    <x v="0"/>
    <x v="3"/>
    <x v="1"/>
    <x v="1"/>
    <x v="0"/>
    <n v="1"/>
    <n v="1"/>
    <n v="0"/>
    <n v="0"/>
    <n v="0"/>
    <n v="0"/>
    <n v="0"/>
    <n v="0"/>
    <n v="0"/>
    <m/>
    <n v="49.6"/>
  </r>
  <r>
    <s v="USR-100278"/>
    <d v="2025-01-19T00:00:00"/>
    <x v="0"/>
    <x v="0"/>
    <x v="1"/>
    <x v="0"/>
    <x v="1"/>
    <n v="1"/>
    <n v="1"/>
    <n v="0"/>
    <n v="0"/>
    <n v="0"/>
    <n v="0"/>
    <n v="0"/>
    <n v="0"/>
    <n v="0"/>
    <m/>
    <n v="74.5"/>
  </r>
  <r>
    <s v="USR-100279"/>
    <d v="2025-03-08T00:00:00"/>
    <x v="0"/>
    <x v="0"/>
    <x v="2"/>
    <x v="2"/>
    <x v="2"/>
    <n v="1"/>
    <n v="0"/>
    <n v="0"/>
    <n v="0"/>
    <n v="0"/>
    <n v="0"/>
    <n v="1"/>
    <n v="1"/>
    <n v="0"/>
    <m/>
    <n v="46.9"/>
  </r>
  <r>
    <s v="USR-100280"/>
    <d v="2025-04-25T00:00:00"/>
    <x v="0"/>
    <x v="0"/>
    <x v="1"/>
    <x v="1"/>
    <x v="1"/>
    <n v="0"/>
    <n v="0"/>
    <n v="0"/>
    <n v="0"/>
    <n v="0"/>
    <n v="0"/>
    <n v="0"/>
    <n v="0"/>
    <n v="0"/>
    <m/>
    <n v="87.1"/>
  </r>
  <r>
    <s v="USR-100281"/>
    <d v="2025-04-04T00:00:00"/>
    <x v="0"/>
    <x v="0"/>
    <x v="0"/>
    <x v="1"/>
    <x v="1"/>
    <n v="1"/>
    <n v="0"/>
    <n v="0"/>
    <n v="0"/>
    <n v="0"/>
    <n v="0"/>
    <n v="0"/>
    <n v="0"/>
    <n v="0"/>
    <m/>
    <n v="56"/>
  </r>
  <r>
    <s v="USR-100282"/>
    <d v="2025-05-01T00:00:00"/>
    <x v="0"/>
    <x v="2"/>
    <x v="1"/>
    <x v="2"/>
    <x v="2"/>
    <n v="1"/>
    <n v="0"/>
    <n v="0"/>
    <n v="0"/>
    <n v="0"/>
    <n v="0"/>
    <n v="1"/>
    <n v="1"/>
    <n v="0"/>
    <m/>
    <n v="61.7"/>
  </r>
  <r>
    <s v="USR-100283"/>
    <d v="2025-01-21T00:00:00"/>
    <x v="0"/>
    <x v="3"/>
    <x v="1"/>
    <x v="4"/>
    <x v="1"/>
    <n v="1"/>
    <n v="0"/>
    <n v="0"/>
    <n v="0"/>
    <n v="0"/>
    <n v="0"/>
    <n v="1"/>
    <n v="1"/>
    <n v="0"/>
    <m/>
    <n v="70.5"/>
  </r>
  <r>
    <s v="USR-100284"/>
    <d v="2025-02-10T00:00:00"/>
    <x v="0"/>
    <x v="0"/>
    <x v="0"/>
    <x v="3"/>
    <x v="0"/>
    <n v="1"/>
    <n v="0"/>
    <n v="0"/>
    <n v="0"/>
    <n v="0"/>
    <n v="0"/>
    <n v="0"/>
    <n v="0"/>
    <n v="0"/>
    <m/>
    <n v="33.4"/>
  </r>
  <r>
    <s v="USR-100285"/>
    <d v="2025-05-06T00:00:00"/>
    <x v="0"/>
    <x v="3"/>
    <x v="0"/>
    <x v="1"/>
    <x v="1"/>
    <n v="1"/>
    <n v="0"/>
    <n v="0"/>
    <n v="0"/>
    <n v="0"/>
    <n v="0"/>
    <n v="0"/>
    <n v="0"/>
    <n v="0"/>
    <m/>
    <n v="57.5"/>
  </r>
  <r>
    <s v="USR-100286"/>
    <d v="2025-02-08T00:00:00"/>
    <x v="0"/>
    <x v="0"/>
    <x v="0"/>
    <x v="2"/>
    <x v="0"/>
    <n v="1"/>
    <n v="1"/>
    <n v="0"/>
    <n v="0"/>
    <n v="0"/>
    <n v="0"/>
    <n v="0"/>
    <n v="0"/>
    <n v="0"/>
    <m/>
    <n v="85.7"/>
  </r>
  <r>
    <s v="USR-100287"/>
    <d v="2025-05-31T00:00:00"/>
    <x v="0"/>
    <x v="2"/>
    <x v="1"/>
    <x v="4"/>
    <x v="1"/>
    <n v="1"/>
    <n v="0"/>
    <n v="0"/>
    <n v="0"/>
    <n v="0"/>
    <n v="0"/>
    <n v="0"/>
    <n v="0"/>
    <n v="0"/>
    <m/>
    <n v="41.9"/>
  </r>
  <r>
    <s v="USR-100288"/>
    <d v="2025-02-07T00:00:00"/>
    <x v="0"/>
    <x v="1"/>
    <x v="1"/>
    <x v="0"/>
    <x v="0"/>
    <n v="1"/>
    <n v="0"/>
    <n v="0"/>
    <n v="0"/>
    <n v="0"/>
    <n v="0"/>
    <n v="0"/>
    <n v="0"/>
    <n v="0"/>
    <m/>
    <n v="70.2"/>
  </r>
  <r>
    <s v="USR-100289"/>
    <d v="2025-02-10T00:00:00"/>
    <x v="0"/>
    <x v="0"/>
    <x v="1"/>
    <x v="4"/>
    <x v="1"/>
    <n v="1"/>
    <n v="0"/>
    <n v="0"/>
    <n v="0"/>
    <n v="0"/>
    <n v="0"/>
    <n v="0"/>
    <n v="0"/>
    <n v="0"/>
    <m/>
    <n v="42.6"/>
  </r>
  <r>
    <s v="USR-100290"/>
    <d v="2025-01-31T00:00:00"/>
    <x v="0"/>
    <x v="1"/>
    <x v="1"/>
    <x v="4"/>
    <x v="0"/>
    <n v="0"/>
    <n v="0"/>
    <n v="0"/>
    <n v="0"/>
    <n v="0"/>
    <n v="0"/>
    <n v="2"/>
    <n v="1"/>
    <n v="0"/>
    <m/>
    <n v="30.4"/>
  </r>
  <r>
    <s v="USR-100291"/>
    <d v="2025-03-16T00:00:00"/>
    <x v="0"/>
    <x v="2"/>
    <x v="1"/>
    <x v="2"/>
    <x v="0"/>
    <n v="1"/>
    <n v="0"/>
    <n v="0"/>
    <n v="0"/>
    <n v="0"/>
    <n v="0"/>
    <n v="0"/>
    <n v="0"/>
    <n v="0"/>
    <m/>
    <n v="63.7"/>
  </r>
  <r>
    <s v="USR-100292"/>
    <d v="2025-04-24T00:00:00"/>
    <x v="0"/>
    <x v="3"/>
    <x v="1"/>
    <x v="4"/>
    <x v="0"/>
    <n v="0"/>
    <n v="0"/>
    <n v="0"/>
    <n v="0"/>
    <n v="0"/>
    <n v="0"/>
    <n v="0"/>
    <n v="0"/>
    <n v="0"/>
    <m/>
    <n v="42.7"/>
  </r>
  <r>
    <s v="USR-100293"/>
    <d v="2025-01-28T00:00:00"/>
    <x v="0"/>
    <x v="0"/>
    <x v="1"/>
    <x v="1"/>
    <x v="1"/>
    <n v="0"/>
    <n v="0"/>
    <n v="0"/>
    <n v="0"/>
    <n v="0"/>
    <n v="0"/>
    <n v="0"/>
    <n v="0"/>
    <n v="0"/>
    <m/>
    <n v="74.3"/>
  </r>
  <r>
    <s v="USR-100294"/>
    <d v="2025-02-16T00:00:00"/>
    <x v="0"/>
    <x v="1"/>
    <x v="0"/>
    <x v="0"/>
    <x v="1"/>
    <n v="1"/>
    <n v="0"/>
    <n v="0"/>
    <n v="0"/>
    <n v="0"/>
    <n v="0"/>
    <n v="0"/>
    <n v="0"/>
    <n v="0"/>
    <m/>
    <n v="40.6"/>
  </r>
  <r>
    <s v="USR-100295"/>
    <d v="2025-03-23T00:00:00"/>
    <x v="0"/>
    <x v="2"/>
    <x v="1"/>
    <x v="1"/>
    <x v="2"/>
    <n v="0"/>
    <n v="0"/>
    <n v="0"/>
    <n v="0"/>
    <n v="0"/>
    <n v="0"/>
    <n v="0"/>
    <n v="0"/>
    <n v="0"/>
    <m/>
    <n v="67"/>
  </r>
  <r>
    <s v="USR-100296"/>
    <d v="2025-05-31T00:00:00"/>
    <x v="0"/>
    <x v="2"/>
    <x v="1"/>
    <x v="2"/>
    <x v="2"/>
    <n v="0"/>
    <n v="0"/>
    <n v="0"/>
    <n v="0"/>
    <n v="0"/>
    <n v="0"/>
    <n v="0"/>
    <n v="0"/>
    <n v="0"/>
    <m/>
    <n v="51"/>
  </r>
  <r>
    <s v="USR-100297"/>
    <d v="2025-04-13T00:00:00"/>
    <x v="0"/>
    <x v="1"/>
    <x v="1"/>
    <x v="4"/>
    <x v="0"/>
    <n v="1"/>
    <n v="1"/>
    <n v="0"/>
    <n v="0"/>
    <n v="0"/>
    <n v="0"/>
    <n v="1"/>
    <n v="1"/>
    <n v="0"/>
    <m/>
    <n v="54.8"/>
  </r>
  <r>
    <s v="USR-100298"/>
    <d v="2025-05-14T00:00:00"/>
    <x v="0"/>
    <x v="0"/>
    <x v="2"/>
    <x v="0"/>
    <x v="0"/>
    <n v="0"/>
    <n v="0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x v="1"/>
    <n v="0"/>
    <n v="0"/>
    <n v="0"/>
    <n v="0"/>
    <n v="0"/>
    <n v="0"/>
    <n v="0"/>
    <n v="0"/>
    <n v="0"/>
    <m/>
    <n v="48.8"/>
  </r>
  <r>
    <s v="USR-100300"/>
    <d v="2025-01-24T00:00:00"/>
    <x v="0"/>
    <x v="3"/>
    <x v="1"/>
    <x v="5"/>
    <x v="0"/>
    <n v="1"/>
    <n v="1"/>
    <n v="1"/>
    <n v="1"/>
    <n v="1198.69"/>
    <n v="1198.69"/>
    <n v="1"/>
    <n v="1"/>
    <n v="0"/>
    <n v="6"/>
    <n v="88.9"/>
  </r>
  <r>
    <s v="USR-100301"/>
    <d v="2025-05-09T00:00:00"/>
    <x v="0"/>
    <x v="0"/>
    <x v="1"/>
    <x v="0"/>
    <x v="0"/>
    <n v="1"/>
    <n v="1"/>
    <n v="1"/>
    <n v="0"/>
    <n v="0"/>
    <n v="0"/>
    <n v="1"/>
    <n v="1"/>
    <n v="0"/>
    <m/>
    <n v="60.5"/>
  </r>
  <r>
    <s v="USR-100302"/>
    <d v="2025-02-11T00:00:00"/>
    <x v="0"/>
    <x v="0"/>
    <x v="1"/>
    <x v="1"/>
    <x v="0"/>
    <n v="1"/>
    <n v="0"/>
    <n v="0"/>
    <n v="0"/>
    <n v="0"/>
    <n v="0"/>
    <n v="0"/>
    <n v="0"/>
    <n v="0"/>
    <m/>
    <n v="63.6"/>
  </r>
  <r>
    <s v="USR-100303"/>
    <d v="2025-02-26T00:00:00"/>
    <x v="0"/>
    <x v="0"/>
    <x v="0"/>
    <x v="1"/>
    <x v="0"/>
    <n v="1"/>
    <n v="1"/>
    <n v="1"/>
    <n v="1"/>
    <n v="6788.95"/>
    <n v="1496.19"/>
    <n v="0"/>
    <n v="0"/>
    <n v="0"/>
    <n v="17"/>
    <n v="58.4"/>
  </r>
  <r>
    <s v="USR-100304"/>
    <d v="2025-02-12T00:00:00"/>
    <x v="0"/>
    <x v="3"/>
    <x v="1"/>
    <x v="4"/>
    <x v="2"/>
    <n v="0"/>
    <n v="0"/>
    <n v="0"/>
    <n v="0"/>
    <n v="0"/>
    <n v="0"/>
    <n v="0"/>
    <n v="0"/>
    <n v="0"/>
    <m/>
    <n v="52.7"/>
  </r>
  <r>
    <s v="USR-100305"/>
    <d v="2025-01-05T00:00:00"/>
    <x v="0"/>
    <x v="3"/>
    <x v="2"/>
    <x v="4"/>
    <x v="2"/>
    <n v="1"/>
    <n v="1"/>
    <n v="1"/>
    <n v="0"/>
    <n v="0"/>
    <n v="0"/>
    <n v="2"/>
    <n v="1"/>
    <n v="0"/>
    <m/>
    <n v="48.9"/>
  </r>
  <r>
    <s v="USR-100306"/>
    <d v="2025-05-19T00:00:00"/>
    <x v="0"/>
    <x v="1"/>
    <x v="1"/>
    <x v="1"/>
    <x v="2"/>
    <n v="0"/>
    <n v="0"/>
    <n v="0"/>
    <n v="0"/>
    <n v="0"/>
    <n v="0"/>
    <n v="0"/>
    <n v="0"/>
    <n v="0"/>
    <m/>
    <n v="79.7"/>
  </r>
  <r>
    <s v="USR-100307"/>
    <d v="2025-02-02T00:00:00"/>
    <x v="0"/>
    <x v="0"/>
    <x v="1"/>
    <x v="4"/>
    <x v="1"/>
    <n v="1"/>
    <n v="0"/>
    <n v="0"/>
    <n v="0"/>
    <n v="0"/>
    <n v="0"/>
    <n v="0"/>
    <n v="0"/>
    <n v="0"/>
    <m/>
    <n v="44.9"/>
  </r>
  <r>
    <s v="USR-100308"/>
    <d v="2025-01-30T00:00:00"/>
    <x v="0"/>
    <x v="1"/>
    <x v="2"/>
    <x v="2"/>
    <x v="1"/>
    <n v="1"/>
    <n v="1"/>
    <n v="1"/>
    <n v="1"/>
    <n v="409.39"/>
    <n v="409.39"/>
    <n v="0"/>
    <n v="0"/>
    <n v="0"/>
    <n v="10"/>
    <n v="38.799999999999997"/>
  </r>
  <r>
    <s v="USR-100309"/>
    <d v="2025-05-01T00:00:00"/>
    <x v="0"/>
    <x v="3"/>
    <x v="0"/>
    <x v="0"/>
    <x v="1"/>
    <n v="0"/>
    <n v="0"/>
    <n v="0"/>
    <n v="0"/>
    <n v="0"/>
    <n v="0"/>
    <n v="0"/>
    <n v="0"/>
    <n v="0"/>
    <m/>
    <n v="70"/>
  </r>
  <r>
    <s v="USR-100310"/>
    <d v="2025-05-16T00:00:00"/>
    <x v="0"/>
    <x v="3"/>
    <x v="0"/>
    <x v="3"/>
    <x v="0"/>
    <n v="1"/>
    <n v="0"/>
    <n v="0"/>
    <n v="0"/>
    <n v="0"/>
    <n v="0"/>
    <n v="0"/>
    <n v="0"/>
    <n v="0"/>
    <m/>
    <n v="77.7"/>
  </r>
  <r>
    <s v="USR-100311"/>
    <d v="2025-03-08T00:00:00"/>
    <x v="0"/>
    <x v="1"/>
    <x v="1"/>
    <x v="1"/>
    <x v="1"/>
    <n v="0"/>
    <n v="0"/>
    <n v="0"/>
    <n v="0"/>
    <n v="0"/>
    <n v="0"/>
    <n v="0"/>
    <n v="0"/>
    <n v="0"/>
    <m/>
    <n v="71.2"/>
  </r>
  <r>
    <s v="USR-100312"/>
    <d v="2025-04-04T00:00:00"/>
    <x v="0"/>
    <x v="0"/>
    <x v="1"/>
    <x v="1"/>
    <x v="0"/>
    <n v="1"/>
    <n v="0"/>
    <n v="0"/>
    <n v="0"/>
    <n v="0"/>
    <n v="0"/>
    <n v="0"/>
    <n v="0"/>
    <n v="0"/>
    <m/>
    <n v="43.8"/>
  </r>
  <r>
    <s v="USR-100313"/>
    <d v="2025-05-30T00:00:00"/>
    <x v="0"/>
    <x v="3"/>
    <x v="2"/>
    <x v="1"/>
    <x v="1"/>
    <n v="1"/>
    <n v="0"/>
    <n v="0"/>
    <n v="0"/>
    <n v="0"/>
    <n v="0"/>
    <n v="0"/>
    <n v="0"/>
    <n v="0"/>
    <m/>
    <n v="50.9"/>
  </r>
  <r>
    <s v="USR-100314"/>
    <d v="2025-01-05T00:00:00"/>
    <x v="0"/>
    <x v="1"/>
    <x v="1"/>
    <x v="1"/>
    <x v="2"/>
    <n v="0"/>
    <n v="0"/>
    <n v="0"/>
    <n v="0"/>
    <n v="0"/>
    <n v="0"/>
    <n v="0"/>
    <n v="0"/>
    <n v="0"/>
    <m/>
    <n v="58.5"/>
  </r>
  <r>
    <s v="USR-100315"/>
    <d v="2025-01-20T00:00:00"/>
    <x v="0"/>
    <x v="2"/>
    <x v="1"/>
    <x v="1"/>
    <x v="1"/>
    <n v="1"/>
    <n v="1"/>
    <n v="1"/>
    <n v="0"/>
    <n v="0"/>
    <n v="0"/>
    <n v="0"/>
    <n v="0"/>
    <n v="0"/>
    <m/>
    <n v="53.6"/>
  </r>
  <r>
    <s v="USR-100316"/>
    <d v="2025-05-01T00:00:00"/>
    <x v="0"/>
    <x v="2"/>
    <x v="1"/>
    <x v="0"/>
    <x v="1"/>
    <n v="0"/>
    <n v="0"/>
    <n v="0"/>
    <n v="0"/>
    <n v="0"/>
    <n v="0"/>
    <n v="0"/>
    <n v="0"/>
    <n v="0"/>
    <m/>
    <n v="54.9"/>
  </r>
  <r>
    <s v="USR-100317"/>
    <d v="2025-03-05T00:00:00"/>
    <x v="0"/>
    <x v="0"/>
    <x v="0"/>
    <x v="1"/>
    <x v="2"/>
    <n v="0"/>
    <n v="0"/>
    <n v="0"/>
    <n v="0"/>
    <n v="0"/>
    <n v="0"/>
    <n v="0"/>
    <n v="0"/>
    <n v="0"/>
    <m/>
    <n v="57.3"/>
  </r>
  <r>
    <s v="USR-100318"/>
    <d v="2025-04-01T00:00:00"/>
    <x v="0"/>
    <x v="2"/>
    <x v="0"/>
    <x v="3"/>
    <x v="1"/>
    <n v="1"/>
    <n v="0"/>
    <n v="0"/>
    <n v="0"/>
    <n v="0"/>
    <n v="0"/>
    <n v="0"/>
    <n v="0"/>
    <n v="0"/>
    <m/>
    <n v="52.1"/>
  </r>
  <r>
    <s v="USR-100319"/>
    <d v="2025-05-03T00:00:00"/>
    <x v="0"/>
    <x v="0"/>
    <x v="1"/>
    <x v="1"/>
    <x v="1"/>
    <n v="1"/>
    <n v="0"/>
    <n v="0"/>
    <n v="0"/>
    <n v="0"/>
    <n v="0"/>
    <n v="0"/>
    <n v="0"/>
    <n v="0"/>
    <m/>
    <n v="80"/>
  </r>
  <r>
    <s v="USR-100320"/>
    <d v="2025-03-06T00:00:00"/>
    <x v="0"/>
    <x v="3"/>
    <x v="0"/>
    <x v="2"/>
    <x v="2"/>
    <n v="1"/>
    <n v="0"/>
    <n v="0"/>
    <n v="0"/>
    <n v="0"/>
    <n v="0"/>
    <n v="0"/>
    <n v="0"/>
    <n v="0"/>
    <m/>
    <n v="39.299999999999997"/>
  </r>
  <r>
    <s v="USR-100321"/>
    <d v="2025-04-01T00:00:00"/>
    <x v="0"/>
    <x v="0"/>
    <x v="0"/>
    <x v="3"/>
    <x v="2"/>
    <n v="0"/>
    <n v="0"/>
    <n v="0"/>
    <n v="0"/>
    <n v="0"/>
    <n v="0"/>
    <n v="0"/>
    <n v="0"/>
    <n v="0"/>
    <m/>
    <n v="45.7"/>
  </r>
  <r>
    <s v="USR-100322"/>
    <d v="2025-02-09T00:00:00"/>
    <x v="0"/>
    <x v="0"/>
    <x v="0"/>
    <x v="4"/>
    <x v="0"/>
    <n v="1"/>
    <n v="0"/>
    <n v="0"/>
    <n v="0"/>
    <n v="0"/>
    <n v="0"/>
    <n v="2"/>
    <n v="1"/>
    <n v="0"/>
    <m/>
    <n v="61.2"/>
  </r>
  <r>
    <s v="USR-100323"/>
    <d v="2025-04-12T00:00:00"/>
    <x v="0"/>
    <x v="1"/>
    <x v="1"/>
    <x v="1"/>
    <x v="0"/>
    <n v="1"/>
    <n v="1"/>
    <n v="0"/>
    <n v="0"/>
    <n v="0"/>
    <n v="0"/>
    <n v="0"/>
    <n v="0"/>
    <n v="0"/>
    <m/>
    <n v="66.2"/>
  </r>
  <r>
    <s v="USR-100324"/>
    <d v="2025-03-18T00:00:00"/>
    <x v="0"/>
    <x v="2"/>
    <x v="1"/>
    <x v="4"/>
    <x v="1"/>
    <n v="1"/>
    <n v="1"/>
    <n v="1"/>
    <n v="0"/>
    <n v="0"/>
    <n v="0"/>
    <n v="0"/>
    <n v="0"/>
    <n v="0"/>
    <m/>
    <n v="61.3"/>
  </r>
  <r>
    <s v="USR-100325"/>
    <d v="2025-04-03T00:00:00"/>
    <x v="0"/>
    <x v="2"/>
    <x v="1"/>
    <x v="2"/>
    <x v="1"/>
    <n v="1"/>
    <n v="0"/>
    <n v="0"/>
    <n v="0"/>
    <n v="0"/>
    <n v="0"/>
    <n v="0"/>
    <n v="0"/>
    <n v="0"/>
    <m/>
    <n v="72.2"/>
  </r>
  <r>
    <s v="USR-100326"/>
    <d v="2025-04-02T00:00:00"/>
    <x v="0"/>
    <x v="1"/>
    <x v="1"/>
    <x v="0"/>
    <x v="2"/>
    <n v="1"/>
    <n v="1"/>
    <n v="1"/>
    <n v="0"/>
    <n v="0"/>
    <n v="0"/>
    <n v="0"/>
    <n v="0"/>
    <n v="0"/>
    <m/>
    <n v="84"/>
  </r>
  <r>
    <s v="USR-100327"/>
    <d v="2025-05-10T00:00:00"/>
    <x v="0"/>
    <x v="1"/>
    <x v="0"/>
    <x v="0"/>
    <x v="0"/>
    <n v="0"/>
    <n v="0"/>
    <n v="0"/>
    <n v="0"/>
    <n v="0"/>
    <n v="0"/>
    <n v="0"/>
    <n v="0"/>
    <n v="0"/>
    <m/>
    <n v="59.8"/>
  </r>
  <r>
    <s v="USR-100328"/>
    <d v="2025-04-29T00:00:00"/>
    <x v="0"/>
    <x v="1"/>
    <x v="0"/>
    <x v="2"/>
    <x v="1"/>
    <n v="1"/>
    <n v="0"/>
    <n v="0"/>
    <n v="0"/>
    <n v="0"/>
    <n v="0"/>
    <n v="0"/>
    <n v="0"/>
    <n v="0"/>
    <m/>
    <n v="64.900000000000006"/>
  </r>
  <r>
    <s v="USR-100329"/>
    <d v="2025-02-27T00:00:00"/>
    <x v="0"/>
    <x v="3"/>
    <x v="1"/>
    <x v="2"/>
    <x v="1"/>
    <n v="1"/>
    <n v="0"/>
    <n v="0"/>
    <n v="0"/>
    <n v="0"/>
    <n v="0"/>
    <n v="0"/>
    <n v="0"/>
    <n v="0"/>
    <m/>
    <n v="66.8"/>
  </r>
  <r>
    <s v="USR-100330"/>
    <d v="2025-04-10T00:00:00"/>
    <x v="0"/>
    <x v="0"/>
    <x v="0"/>
    <x v="1"/>
    <x v="2"/>
    <n v="0"/>
    <n v="0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x v="1"/>
    <n v="1"/>
    <n v="1"/>
    <n v="1"/>
    <n v="1"/>
    <n v="426.82"/>
    <n v="426.82"/>
    <n v="1"/>
    <n v="1"/>
    <n v="0"/>
    <n v="14"/>
    <n v="68.8"/>
  </r>
  <r>
    <s v="USR-100332"/>
    <d v="2025-05-03T00:00:00"/>
    <x v="0"/>
    <x v="0"/>
    <x v="1"/>
    <x v="1"/>
    <x v="0"/>
    <n v="1"/>
    <n v="0"/>
    <n v="0"/>
    <n v="0"/>
    <n v="0"/>
    <n v="0"/>
    <n v="0"/>
    <n v="0"/>
    <n v="0"/>
    <m/>
    <n v="72.400000000000006"/>
  </r>
  <r>
    <s v="USR-100333"/>
    <d v="2025-03-10T00:00:00"/>
    <x v="0"/>
    <x v="2"/>
    <x v="1"/>
    <x v="1"/>
    <x v="0"/>
    <n v="0"/>
    <n v="0"/>
    <n v="0"/>
    <n v="0"/>
    <n v="0"/>
    <n v="0"/>
    <n v="0"/>
    <n v="0"/>
    <n v="0"/>
    <m/>
    <n v="63.3"/>
  </r>
  <r>
    <s v="USR-100334"/>
    <d v="2025-01-10T00:00:00"/>
    <x v="0"/>
    <x v="1"/>
    <x v="2"/>
    <x v="4"/>
    <x v="1"/>
    <n v="1"/>
    <n v="0"/>
    <n v="0"/>
    <n v="0"/>
    <n v="0"/>
    <n v="0"/>
    <n v="0"/>
    <n v="0"/>
    <n v="0"/>
    <m/>
    <n v="30.8"/>
  </r>
  <r>
    <s v="USR-100335"/>
    <d v="2025-01-16T00:00:00"/>
    <x v="0"/>
    <x v="3"/>
    <x v="1"/>
    <x v="0"/>
    <x v="0"/>
    <n v="1"/>
    <n v="1"/>
    <n v="1"/>
    <n v="1"/>
    <n v="874.55"/>
    <n v="874.55"/>
    <n v="0"/>
    <n v="0"/>
    <n v="0"/>
    <n v="9"/>
    <n v="44.2"/>
  </r>
  <r>
    <s v="USR-100336"/>
    <d v="2025-02-11T00:00:00"/>
    <x v="0"/>
    <x v="3"/>
    <x v="0"/>
    <x v="1"/>
    <x v="2"/>
    <n v="1"/>
    <n v="1"/>
    <n v="1"/>
    <n v="1"/>
    <n v="2206.88"/>
    <n v="1496.19"/>
    <n v="0"/>
    <n v="0"/>
    <n v="0"/>
    <n v="10"/>
    <n v="56.2"/>
  </r>
  <r>
    <s v="USR-100337"/>
    <d v="2025-04-13T00:00:00"/>
    <x v="0"/>
    <x v="1"/>
    <x v="1"/>
    <x v="1"/>
    <x v="1"/>
    <n v="0"/>
    <n v="0"/>
    <n v="0"/>
    <n v="0"/>
    <n v="0"/>
    <n v="0"/>
    <n v="0"/>
    <n v="0"/>
    <n v="0"/>
    <m/>
    <n v="40.4"/>
  </r>
  <r>
    <s v="USR-100338"/>
    <d v="2025-02-08T00:00:00"/>
    <x v="0"/>
    <x v="2"/>
    <x v="1"/>
    <x v="2"/>
    <x v="1"/>
    <n v="1"/>
    <n v="1"/>
    <n v="1"/>
    <n v="0"/>
    <n v="0"/>
    <n v="0"/>
    <n v="0"/>
    <n v="0"/>
    <n v="0"/>
    <m/>
    <n v="68.099999999999994"/>
  </r>
  <r>
    <s v="USR-100339"/>
    <d v="2025-03-31T00:00:00"/>
    <x v="0"/>
    <x v="1"/>
    <x v="0"/>
    <x v="3"/>
    <x v="1"/>
    <n v="1"/>
    <n v="0"/>
    <n v="0"/>
    <n v="0"/>
    <n v="0"/>
    <n v="0"/>
    <n v="0"/>
    <n v="0"/>
    <n v="0"/>
    <m/>
    <n v="86.3"/>
  </r>
  <r>
    <s v="USR-100340"/>
    <d v="2025-01-31T00:00:00"/>
    <x v="0"/>
    <x v="1"/>
    <x v="0"/>
    <x v="3"/>
    <x v="1"/>
    <n v="1"/>
    <n v="1"/>
    <n v="0"/>
    <n v="0"/>
    <n v="0"/>
    <n v="0"/>
    <n v="0"/>
    <n v="0"/>
    <n v="0"/>
    <m/>
    <n v="42.9"/>
  </r>
  <r>
    <s v="USR-100341"/>
    <d v="2025-05-08T00:00:00"/>
    <x v="0"/>
    <x v="1"/>
    <x v="2"/>
    <x v="1"/>
    <x v="1"/>
    <n v="0"/>
    <n v="0"/>
    <n v="0"/>
    <n v="0"/>
    <n v="0"/>
    <n v="0"/>
    <n v="0"/>
    <n v="0"/>
    <n v="0"/>
    <m/>
    <n v="61.4"/>
  </r>
  <r>
    <s v="USR-100342"/>
    <d v="2025-03-15T00:00:00"/>
    <x v="0"/>
    <x v="0"/>
    <x v="1"/>
    <x v="2"/>
    <x v="1"/>
    <n v="1"/>
    <n v="0"/>
    <n v="0"/>
    <n v="0"/>
    <n v="0"/>
    <n v="0"/>
    <n v="1"/>
    <n v="1"/>
    <n v="0"/>
    <m/>
    <n v="73.3"/>
  </r>
  <r>
    <s v="USR-100343"/>
    <d v="2025-01-13T00:00:00"/>
    <x v="0"/>
    <x v="3"/>
    <x v="1"/>
    <x v="3"/>
    <x v="0"/>
    <n v="1"/>
    <n v="0"/>
    <n v="0"/>
    <n v="0"/>
    <n v="0"/>
    <n v="0"/>
    <n v="0"/>
    <n v="0"/>
    <n v="0"/>
    <m/>
    <n v="59.4"/>
  </r>
  <r>
    <s v="USR-100344"/>
    <d v="2025-03-07T00:00:00"/>
    <x v="0"/>
    <x v="3"/>
    <x v="2"/>
    <x v="1"/>
    <x v="0"/>
    <n v="1"/>
    <n v="0"/>
    <n v="0"/>
    <n v="0"/>
    <n v="0"/>
    <n v="0"/>
    <n v="0"/>
    <n v="0"/>
    <n v="0"/>
    <m/>
    <n v="35.200000000000003"/>
  </r>
  <r>
    <s v="USR-100345"/>
    <d v="2025-02-10T00:00:00"/>
    <x v="0"/>
    <x v="3"/>
    <x v="1"/>
    <x v="4"/>
    <x v="2"/>
    <n v="1"/>
    <n v="1"/>
    <n v="0"/>
    <n v="0"/>
    <n v="0"/>
    <n v="0"/>
    <n v="0"/>
    <n v="0"/>
    <n v="0"/>
    <m/>
    <n v="55.3"/>
  </r>
  <r>
    <s v="USR-100346"/>
    <d v="2025-03-12T00:00:00"/>
    <x v="0"/>
    <x v="2"/>
    <x v="1"/>
    <x v="2"/>
    <x v="1"/>
    <n v="0"/>
    <n v="0"/>
    <n v="0"/>
    <n v="0"/>
    <n v="0"/>
    <n v="0"/>
    <n v="0"/>
    <n v="0"/>
    <n v="0"/>
    <m/>
    <n v="37.5"/>
  </r>
  <r>
    <s v="USR-100347"/>
    <d v="2025-01-03T00:00:00"/>
    <x v="0"/>
    <x v="3"/>
    <x v="0"/>
    <x v="2"/>
    <x v="1"/>
    <n v="0"/>
    <n v="0"/>
    <n v="0"/>
    <n v="0"/>
    <n v="0"/>
    <n v="0"/>
    <n v="1"/>
    <n v="1"/>
    <n v="0"/>
    <m/>
    <n v="66.400000000000006"/>
  </r>
  <r>
    <s v="USR-100348"/>
    <d v="2025-04-28T00:00:00"/>
    <x v="0"/>
    <x v="0"/>
    <x v="2"/>
    <x v="4"/>
    <x v="0"/>
    <n v="1"/>
    <n v="0"/>
    <n v="0"/>
    <n v="0"/>
    <n v="0"/>
    <n v="0"/>
    <n v="0"/>
    <n v="0"/>
    <n v="0"/>
    <m/>
    <n v="61.9"/>
  </r>
  <r>
    <s v="USR-100349"/>
    <d v="2025-04-17T00:00:00"/>
    <x v="0"/>
    <x v="2"/>
    <x v="1"/>
    <x v="1"/>
    <x v="1"/>
    <n v="0"/>
    <n v="0"/>
    <n v="0"/>
    <n v="0"/>
    <n v="0"/>
    <n v="0"/>
    <n v="0"/>
    <n v="0"/>
    <n v="0"/>
    <m/>
    <n v="56"/>
  </r>
  <r>
    <s v="USR-100350"/>
    <d v="2025-05-23T00:00:00"/>
    <x v="0"/>
    <x v="3"/>
    <x v="0"/>
    <x v="4"/>
    <x v="0"/>
    <n v="1"/>
    <n v="0"/>
    <n v="0"/>
    <n v="0"/>
    <n v="0"/>
    <n v="0"/>
    <n v="0"/>
    <n v="0"/>
    <n v="0"/>
    <m/>
    <n v="55.5"/>
  </r>
  <r>
    <s v="USR-100351"/>
    <d v="2025-02-19T00:00:00"/>
    <x v="0"/>
    <x v="1"/>
    <x v="2"/>
    <x v="3"/>
    <x v="0"/>
    <n v="1"/>
    <n v="0"/>
    <n v="0"/>
    <n v="0"/>
    <n v="0"/>
    <n v="0"/>
    <n v="0"/>
    <n v="0"/>
    <n v="0"/>
    <m/>
    <n v="37.200000000000003"/>
  </r>
  <r>
    <s v="USR-100352"/>
    <d v="2025-01-18T00:00:00"/>
    <x v="0"/>
    <x v="3"/>
    <x v="0"/>
    <x v="1"/>
    <x v="1"/>
    <n v="1"/>
    <n v="1"/>
    <n v="0"/>
    <n v="0"/>
    <n v="0"/>
    <n v="0"/>
    <n v="1"/>
    <n v="1"/>
    <n v="0"/>
    <m/>
    <n v="70.5"/>
  </r>
  <r>
    <s v="USR-100353"/>
    <d v="2025-04-17T00:00:00"/>
    <x v="0"/>
    <x v="0"/>
    <x v="1"/>
    <x v="1"/>
    <x v="1"/>
    <n v="0"/>
    <n v="0"/>
    <n v="0"/>
    <n v="0"/>
    <n v="0"/>
    <n v="0"/>
    <n v="0"/>
    <n v="0"/>
    <n v="0"/>
    <m/>
    <n v="61.2"/>
  </r>
  <r>
    <s v="USR-100354"/>
    <d v="2025-04-12T00:00:00"/>
    <x v="0"/>
    <x v="2"/>
    <x v="2"/>
    <x v="4"/>
    <x v="1"/>
    <n v="1"/>
    <n v="1"/>
    <n v="1"/>
    <n v="0"/>
    <n v="0"/>
    <n v="0"/>
    <n v="0"/>
    <n v="0"/>
    <n v="0"/>
    <m/>
    <n v="64.599999999999994"/>
  </r>
  <r>
    <s v="USR-100355"/>
    <d v="2025-05-16T00:00:00"/>
    <x v="0"/>
    <x v="2"/>
    <x v="1"/>
    <x v="0"/>
    <x v="1"/>
    <n v="1"/>
    <n v="1"/>
    <n v="0"/>
    <n v="0"/>
    <n v="0"/>
    <n v="0"/>
    <n v="0"/>
    <n v="0"/>
    <n v="0"/>
    <m/>
    <n v="91.7"/>
  </r>
  <r>
    <s v="USR-100356"/>
    <d v="2025-03-24T00:00:00"/>
    <x v="0"/>
    <x v="1"/>
    <x v="1"/>
    <x v="4"/>
    <x v="1"/>
    <n v="0"/>
    <n v="0"/>
    <n v="0"/>
    <n v="0"/>
    <n v="0"/>
    <n v="0"/>
    <n v="0"/>
    <n v="0"/>
    <n v="0"/>
    <m/>
    <n v="46"/>
  </r>
  <r>
    <s v="USR-100357"/>
    <d v="2025-02-16T00:00:00"/>
    <x v="0"/>
    <x v="1"/>
    <x v="1"/>
    <x v="1"/>
    <x v="0"/>
    <n v="0"/>
    <n v="0"/>
    <n v="0"/>
    <n v="0"/>
    <n v="0"/>
    <n v="0"/>
    <n v="0"/>
    <n v="0"/>
    <n v="0"/>
    <m/>
    <n v="50.8"/>
  </r>
  <r>
    <s v="USR-100358"/>
    <d v="2025-03-19T00:00:00"/>
    <x v="0"/>
    <x v="0"/>
    <x v="2"/>
    <x v="1"/>
    <x v="1"/>
    <n v="1"/>
    <n v="1"/>
    <n v="1"/>
    <n v="0"/>
    <n v="0"/>
    <n v="0"/>
    <n v="0"/>
    <n v="0"/>
    <n v="0"/>
    <m/>
    <n v="52.8"/>
  </r>
  <r>
    <s v="USR-100359"/>
    <d v="2025-04-21T00:00:00"/>
    <x v="0"/>
    <x v="3"/>
    <x v="1"/>
    <x v="1"/>
    <x v="0"/>
    <n v="1"/>
    <n v="1"/>
    <n v="1"/>
    <n v="0"/>
    <n v="0"/>
    <n v="0"/>
    <n v="0"/>
    <n v="0"/>
    <n v="0"/>
    <m/>
    <n v="63"/>
  </r>
  <r>
    <s v="USR-100360"/>
    <d v="2025-01-11T00:00:00"/>
    <x v="0"/>
    <x v="1"/>
    <x v="1"/>
    <x v="1"/>
    <x v="1"/>
    <n v="0"/>
    <n v="0"/>
    <n v="0"/>
    <n v="0"/>
    <n v="0"/>
    <n v="0"/>
    <n v="0"/>
    <n v="0"/>
    <n v="0"/>
    <m/>
    <n v="28.4"/>
  </r>
  <r>
    <s v="USR-100361"/>
    <d v="2025-04-24T00:00:00"/>
    <x v="0"/>
    <x v="1"/>
    <x v="0"/>
    <x v="1"/>
    <x v="1"/>
    <n v="1"/>
    <n v="1"/>
    <n v="0"/>
    <n v="0"/>
    <n v="0"/>
    <n v="0"/>
    <n v="0"/>
    <n v="0"/>
    <n v="0"/>
    <m/>
    <n v="65.599999999999994"/>
  </r>
  <r>
    <s v="USR-100362"/>
    <d v="2025-03-13T00:00:00"/>
    <x v="0"/>
    <x v="0"/>
    <x v="1"/>
    <x v="4"/>
    <x v="2"/>
    <n v="1"/>
    <n v="1"/>
    <n v="1"/>
    <n v="0"/>
    <n v="0"/>
    <n v="0"/>
    <n v="0"/>
    <n v="0"/>
    <n v="0"/>
    <m/>
    <n v="54.7"/>
  </r>
  <r>
    <s v="USR-100363"/>
    <d v="2025-01-30T00:00:00"/>
    <x v="0"/>
    <x v="0"/>
    <x v="1"/>
    <x v="4"/>
    <x v="0"/>
    <n v="0"/>
    <n v="0"/>
    <n v="0"/>
    <n v="0"/>
    <n v="0"/>
    <n v="0"/>
    <n v="0"/>
    <n v="0"/>
    <n v="0"/>
    <m/>
    <n v="36.1"/>
  </r>
  <r>
    <s v="USR-100364"/>
    <d v="2025-05-08T00:00:00"/>
    <x v="0"/>
    <x v="3"/>
    <x v="1"/>
    <x v="4"/>
    <x v="0"/>
    <n v="1"/>
    <n v="1"/>
    <n v="1"/>
    <n v="0"/>
    <n v="0"/>
    <n v="0"/>
    <n v="0"/>
    <n v="0"/>
    <n v="0"/>
    <m/>
    <n v="70.400000000000006"/>
  </r>
  <r>
    <s v="USR-100365"/>
    <d v="2025-01-08T00:00:00"/>
    <x v="0"/>
    <x v="2"/>
    <x v="0"/>
    <x v="4"/>
    <x v="1"/>
    <n v="1"/>
    <n v="0"/>
    <n v="0"/>
    <n v="0"/>
    <n v="0"/>
    <n v="0"/>
    <n v="0"/>
    <n v="0"/>
    <n v="0"/>
    <m/>
    <n v="56.4"/>
  </r>
  <r>
    <s v="USR-100366"/>
    <d v="2025-05-03T00:00:00"/>
    <x v="0"/>
    <x v="3"/>
    <x v="1"/>
    <x v="1"/>
    <x v="1"/>
    <n v="1"/>
    <n v="0"/>
    <n v="0"/>
    <n v="0"/>
    <n v="0"/>
    <n v="0"/>
    <n v="0"/>
    <n v="0"/>
    <n v="0"/>
    <m/>
    <n v="79.2"/>
  </r>
  <r>
    <s v="USR-100367"/>
    <d v="2025-02-12T00:00:00"/>
    <x v="0"/>
    <x v="2"/>
    <x v="1"/>
    <x v="2"/>
    <x v="1"/>
    <n v="1"/>
    <n v="1"/>
    <n v="1"/>
    <n v="0"/>
    <n v="0"/>
    <n v="0"/>
    <n v="0"/>
    <n v="0"/>
    <n v="0"/>
    <m/>
    <n v="60.1"/>
  </r>
  <r>
    <s v="USR-100368"/>
    <d v="2025-02-25T00:00:00"/>
    <x v="0"/>
    <x v="3"/>
    <x v="2"/>
    <x v="1"/>
    <x v="1"/>
    <n v="0"/>
    <n v="0"/>
    <n v="0"/>
    <n v="0"/>
    <n v="0"/>
    <n v="0"/>
    <n v="0"/>
    <n v="0"/>
    <n v="0"/>
    <m/>
    <n v="58"/>
  </r>
  <r>
    <s v="USR-100369"/>
    <d v="2025-04-14T00:00:00"/>
    <x v="0"/>
    <x v="3"/>
    <x v="1"/>
    <x v="3"/>
    <x v="1"/>
    <n v="1"/>
    <n v="1"/>
    <n v="1"/>
    <n v="0"/>
    <n v="0"/>
    <n v="0"/>
    <n v="0"/>
    <n v="0"/>
    <n v="0"/>
    <m/>
    <n v="69"/>
  </r>
  <r>
    <s v="USR-100370"/>
    <d v="2025-01-08T00:00:00"/>
    <x v="0"/>
    <x v="0"/>
    <x v="1"/>
    <x v="3"/>
    <x v="2"/>
    <n v="1"/>
    <n v="1"/>
    <n v="1"/>
    <n v="0"/>
    <n v="0"/>
    <n v="0"/>
    <n v="1"/>
    <n v="1"/>
    <n v="0"/>
    <m/>
    <n v="80.8"/>
  </r>
  <r>
    <s v="USR-100371"/>
    <d v="2025-03-14T00:00:00"/>
    <x v="0"/>
    <x v="2"/>
    <x v="1"/>
    <x v="0"/>
    <x v="1"/>
    <n v="0"/>
    <n v="0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x v="2"/>
    <n v="1"/>
    <n v="0"/>
    <n v="0"/>
    <n v="0"/>
    <n v="0"/>
    <n v="0"/>
    <n v="0"/>
    <n v="0"/>
    <n v="0"/>
    <m/>
    <n v="56"/>
  </r>
  <r>
    <s v="USR-100373"/>
    <d v="2025-05-01T00:00:00"/>
    <x v="0"/>
    <x v="2"/>
    <x v="0"/>
    <x v="4"/>
    <x v="1"/>
    <n v="1"/>
    <n v="0"/>
    <n v="0"/>
    <n v="0"/>
    <n v="0"/>
    <n v="0"/>
    <n v="0"/>
    <n v="0"/>
    <n v="0"/>
    <m/>
    <n v="76.400000000000006"/>
  </r>
  <r>
    <s v="USR-100374"/>
    <d v="2025-03-19T00:00:00"/>
    <x v="0"/>
    <x v="0"/>
    <x v="1"/>
    <x v="3"/>
    <x v="1"/>
    <n v="1"/>
    <n v="0"/>
    <n v="0"/>
    <n v="0"/>
    <n v="0"/>
    <n v="0"/>
    <n v="0"/>
    <n v="0"/>
    <n v="0"/>
    <m/>
    <n v="28.5"/>
  </r>
  <r>
    <s v="USR-100375"/>
    <d v="2025-05-01T00:00:00"/>
    <x v="0"/>
    <x v="3"/>
    <x v="0"/>
    <x v="4"/>
    <x v="0"/>
    <n v="1"/>
    <n v="1"/>
    <n v="1"/>
    <n v="0"/>
    <n v="0"/>
    <n v="0"/>
    <n v="0"/>
    <n v="0"/>
    <n v="0"/>
    <m/>
    <n v="48.3"/>
  </r>
  <r>
    <s v="USR-100376"/>
    <d v="2025-03-14T00:00:00"/>
    <x v="0"/>
    <x v="1"/>
    <x v="1"/>
    <x v="1"/>
    <x v="1"/>
    <n v="1"/>
    <n v="1"/>
    <n v="0"/>
    <n v="0"/>
    <n v="0"/>
    <n v="0"/>
    <n v="0"/>
    <n v="0"/>
    <n v="0"/>
    <m/>
    <n v="43.4"/>
  </r>
  <r>
    <s v="USR-100377"/>
    <d v="2025-03-23T00:00:00"/>
    <x v="0"/>
    <x v="0"/>
    <x v="1"/>
    <x v="2"/>
    <x v="1"/>
    <n v="0"/>
    <n v="0"/>
    <n v="0"/>
    <n v="0"/>
    <n v="0"/>
    <n v="0"/>
    <n v="0"/>
    <n v="0"/>
    <n v="0"/>
    <m/>
    <n v="43"/>
  </r>
  <r>
    <s v="USR-100378"/>
    <d v="2025-02-08T00:00:00"/>
    <x v="0"/>
    <x v="2"/>
    <x v="1"/>
    <x v="3"/>
    <x v="0"/>
    <n v="1"/>
    <n v="1"/>
    <n v="1"/>
    <n v="0"/>
    <n v="0"/>
    <n v="0"/>
    <n v="0"/>
    <n v="0"/>
    <n v="0"/>
    <m/>
    <n v="91.8"/>
  </r>
  <r>
    <s v="USR-100379"/>
    <d v="2025-04-15T00:00:00"/>
    <x v="0"/>
    <x v="1"/>
    <x v="2"/>
    <x v="2"/>
    <x v="0"/>
    <n v="1"/>
    <n v="0"/>
    <n v="0"/>
    <n v="0"/>
    <n v="0"/>
    <n v="0"/>
    <n v="1"/>
    <n v="1"/>
    <n v="0"/>
    <m/>
    <n v="69.3"/>
  </r>
  <r>
    <s v="USR-100380"/>
    <d v="2025-01-03T00:00:00"/>
    <x v="0"/>
    <x v="3"/>
    <x v="0"/>
    <x v="2"/>
    <x v="0"/>
    <n v="1"/>
    <n v="0"/>
    <n v="0"/>
    <n v="0"/>
    <n v="0"/>
    <n v="0"/>
    <n v="0"/>
    <n v="0"/>
    <n v="0"/>
    <m/>
    <n v="58.9"/>
  </r>
  <r>
    <s v="USR-100381"/>
    <d v="2025-03-23T00:00:00"/>
    <x v="0"/>
    <x v="1"/>
    <x v="1"/>
    <x v="4"/>
    <x v="1"/>
    <n v="1"/>
    <n v="1"/>
    <n v="1"/>
    <n v="0"/>
    <n v="0"/>
    <n v="0"/>
    <n v="0"/>
    <n v="0"/>
    <n v="0"/>
    <m/>
    <n v="76"/>
  </r>
  <r>
    <s v="USR-100382"/>
    <d v="2025-05-27T00:00:00"/>
    <x v="0"/>
    <x v="3"/>
    <x v="1"/>
    <x v="3"/>
    <x v="2"/>
    <n v="1"/>
    <n v="0"/>
    <n v="0"/>
    <n v="0"/>
    <n v="0"/>
    <n v="0"/>
    <n v="0"/>
    <n v="0"/>
    <n v="0"/>
    <m/>
    <n v="46"/>
  </r>
  <r>
    <s v="USR-100383"/>
    <d v="2025-04-30T00:00:00"/>
    <x v="0"/>
    <x v="2"/>
    <x v="1"/>
    <x v="1"/>
    <x v="1"/>
    <n v="1"/>
    <n v="0"/>
    <n v="0"/>
    <n v="0"/>
    <n v="0"/>
    <n v="0"/>
    <n v="0"/>
    <n v="0"/>
    <n v="0"/>
    <m/>
    <n v="54.1"/>
  </r>
  <r>
    <s v="USR-100384"/>
    <d v="2025-03-07T00:00:00"/>
    <x v="0"/>
    <x v="1"/>
    <x v="1"/>
    <x v="4"/>
    <x v="0"/>
    <n v="1"/>
    <n v="0"/>
    <n v="0"/>
    <n v="0"/>
    <n v="0"/>
    <n v="0"/>
    <n v="0"/>
    <n v="0"/>
    <n v="0"/>
    <m/>
    <n v="82.4"/>
  </r>
  <r>
    <s v="USR-100385"/>
    <d v="2025-05-10T00:00:00"/>
    <x v="0"/>
    <x v="3"/>
    <x v="1"/>
    <x v="1"/>
    <x v="0"/>
    <n v="1"/>
    <n v="1"/>
    <n v="1"/>
    <n v="0"/>
    <n v="0"/>
    <n v="0"/>
    <n v="0"/>
    <n v="0"/>
    <n v="0"/>
    <m/>
    <n v="71.900000000000006"/>
  </r>
  <r>
    <s v="USR-100386"/>
    <d v="2025-05-22T00:00:00"/>
    <x v="0"/>
    <x v="2"/>
    <x v="1"/>
    <x v="1"/>
    <x v="1"/>
    <n v="0"/>
    <n v="0"/>
    <n v="0"/>
    <n v="0"/>
    <n v="0"/>
    <n v="0"/>
    <n v="2"/>
    <n v="1"/>
    <n v="0"/>
    <m/>
    <n v="38"/>
  </r>
  <r>
    <s v="USR-100387"/>
    <d v="2025-02-09T00:00:00"/>
    <x v="0"/>
    <x v="2"/>
    <x v="1"/>
    <x v="2"/>
    <x v="1"/>
    <n v="1"/>
    <n v="1"/>
    <n v="0"/>
    <n v="0"/>
    <n v="0"/>
    <n v="0"/>
    <n v="0"/>
    <n v="0"/>
    <n v="0"/>
    <m/>
    <n v="43.7"/>
  </r>
  <r>
    <s v="USR-100388"/>
    <d v="2025-05-30T00:00:00"/>
    <x v="0"/>
    <x v="1"/>
    <x v="0"/>
    <x v="1"/>
    <x v="2"/>
    <n v="1"/>
    <n v="0"/>
    <n v="0"/>
    <n v="0"/>
    <n v="0"/>
    <n v="0"/>
    <n v="1"/>
    <n v="1"/>
    <n v="0"/>
    <m/>
    <n v="32.200000000000003"/>
  </r>
  <r>
    <s v="USR-100389"/>
    <d v="2025-05-01T00:00:00"/>
    <x v="0"/>
    <x v="3"/>
    <x v="1"/>
    <x v="1"/>
    <x v="2"/>
    <n v="1"/>
    <n v="0"/>
    <n v="0"/>
    <n v="0"/>
    <n v="0"/>
    <n v="0"/>
    <n v="0"/>
    <n v="0"/>
    <n v="0"/>
    <m/>
    <n v="61"/>
  </r>
  <r>
    <s v="USR-100390"/>
    <d v="2025-01-03T00:00:00"/>
    <x v="0"/>
    <x v="3"/>
    <x v="1"/>
    <x v="2"/>
    <x v="1"/>
    <n v="1"/>
    <n v="0"/>
    <n v="0"/>
    <n v="0"/>
    <n v="0"/>
    <n v="0"/>
    <n v="0"/>
    <n v="0"/>
    <n v="0"/>
    <m/>
    <n v="49"/>
  </r>
  <r>
    <s v="USR-100391"/>
    <d v="2025-02-13T00:00:00"/>
    <x v="0"/>
    <x v="2"/>
    <x v="1"/>
    <x v="1"/>
    <x v="1"/>
    <n v="0"/>
    <n v="0"/>
    <n v="0"/>
    <n v="0"/>
    <n v="0"/>
    <n v="0"/>
    <n v="0"/>
    <n v="0"/>
    <n v="0"/>
    <m/>
    <n v="48.1"/>
  </r>
  <r>
    <s v="USR-100392"/>
    <d v="2025-01-14T00:00:00"/>
    <x v="0"/>
    <x v="3"/>
    <x v="0"/>
    <x v="1"/>
    <x v="1"/>
    <n v="0"/>
    <n v="0"/>
    <n v="0"/>
    <n v="0"/>
    <n v="0"/>
    <n v="0"/>
    <n v="2"/>
    <n v="1"/>
    <n v="0"/>
    <m/>
    <n v="46.3"/>
  </r>
  <r>
    <s v="USR-100393"/>
    <d v="2025-02-24T00:00:00"/>
    <x v="0"/>
    <x v="0"/>
    <x v="1"/>
    <x v="3"/>
    <x v="1"/>
    <n v="0"/>
    <n v="0"/>
    <n v="0"/>
    <n v="0"/>
    <n v="0"/>
    <n v="0"/>
    <n v="0"/>
    <n v="0"/>
    <n v="0"/>
    <m/>
    <n v="64"/>
  </r>
  <r>
    <s v="USR-100394"/>
    <d v="2025-05-16T00:00:00"/>
    <x v="0"/>
    <x v="1"/>
    <x v="0"/>
    <x v="1"/>
    <x v="0"/>
    <n v="1"/>
    <n v="1"/>
    <n v="0"/>
    <n v="0"/>
    <n v="0"/>
    <n v="0"/>
    <n v="0"/>
    <n v="0"/>
    <n v="0"/>
    <m/>
    <n v="56.2"/>
  </r>
  <r>
    <s v="USR-100395"/>
    <d v="2025-04-29T00:00:00"/>
    <x v="0"/>
    <x v="0"/>
    <x v="1"/>
    <x v="2"/>
    <x v="1"/>
    <n v="1"/>
    <n v="1"/>
    <n v="1"/>
    <n v="0"/>
    <n v="0"/>
    <n v="0"/>
    <n v="0"/>
    <n v="0"/>
    <n v="0"/>
    <m/>
    <n v="77.5"/>
  </r>
  <r>
    <s v="USR-100396"/>
    <d v="2025-04-30T00:00:00"/>
    <x v="0"/>
    <x v="3"/>
    <x v="0"/>
    <x v="0"/>
    <x v="0"/>
    <n v="1"/>
    <n v="0"/>
    <n v="0"/>
    <n v="0"/>
    <n v="0"/>
    <n v="0"/>
    <n v="0"/>
    <n v="0"/>
    <n v="0"/>
    <m/>
    <n v="59.9"/>
  </r>
  <r>
    <s v="USR-100397"/>
    <d v="2025-01-09T00:00:00"/>
    <x v="0"/>
    <x v="3"/>
    <x v="0"/>
    <x v="1"/>
    <x v="1"/>
    <n v="1"/>
    <n v="1"/>
    <n v="0"/>
    <n v="0"/>
    <n v="0"/>
    <n v="0"/>
    <n v="0"/>
    <n v="0"/>
    <n v="0"/>
    <m/>
    <n v="63"/>
  </r>
  <r>
    <s v="USR-100398"/>
    <d v="2025-04-25T00:00:00"/>
    <x v="0"/>
    <x v="3"/>
    <x v="1"/>
    <x v="1"/>
    <x v="1"/>
    <n v="1"/>
    <n v="1"/>
    <n v="0"/>
    <n v="0"/>
    <n v="0"/>
    <n v="0"/>
    <n v="0"/>
    <n v="0"/>
    <n v="0"/>
    <m/>
    <n v="76.5"/>
  </r>
  <r>
    <s v="USR-100399"/>
    <d v="2025-03-12T00:00:00"/>
    <x v="0"/>
    <x v="0"/>
    <x v="0"/>
    <x v="2"/>
    <x v="1"/>
    <n v="1"/>
    <n v="0"/>
    <n v="0"/>
    <n v="0"/>
    <n v="0"/>
    <n v="0"/>
    <n v="0"/>
    <n v="0"/>
    <n v="0"/>
    <m/>
    <n v="39.700000000000003"/>
  </r>
  <r>
    <s v="USR-100400"/>
    <d v="2025-03-20T00:00:00"/>
    <x v="0"/>
    <x v="0"/>
    <x v="1"/>
    <x v="1"/>
    <x v="1"/>
    <n v="1"/>
    <n v="1"/>
    <n v="0"/>
    <n v="0"/>
    <n v="0"/>
    <n v="0"/>
    <n v="0"/>
    <n v="0"/>
    <n v="0"/>
    <m/>
    <n v="80.2"/>
  </r>
  <r>
    <s v="USR-100401"/>
    <d v="2025-02-18T00:00:00"/>
    <x v="0"/>
    <x v="1"/>
    <x v="1"/>
    <x v="2"/>
    <x v="1"/>
    <n v="1"/>
    <n v="0"/>
    <n v="0"/>
    <n v="0"/>
    <n v="0"/>
    <n v="0"/>
    <n v="0"/>
    <n v="0"/>
    <n v="0"/>
    <m/>
    <n v="72.2"/>
  </r>
  <r>
    <s v="USR-100402"/>
    <d v="2025-01-22T00:00:00"/>
    <x v="0"/>
    <x v="0"/>
    <x v="1"/>
    <x v="4"/>
    <x v="0"/>
    <n v="0"/>
    <n v="0"/>
    <n v="0"/>
    <n v="0"/>
    <n v="0"/>
    <n v="0"/>
    <n v="0"/>
    <n v="0"/>
    <n v="0"/>
    <m/>
    <n v="56"/>
  </r>
  <r>
    <s v="USR-100403"/>
    <d v="2025-02-08T00:00:00"/>
    <x v="0"/>
    <x v="1"/>
    <x v="1"/>
    <x v="0"/>
    <x v="0"/>
    <n v="1"/>
    <n v="1"/>
    <n v="1"/>
    <n v="0"/>
    <n v="0"/>
    <n v="0"/>
    <n v="0"/>
    <n v="0"/>
    <n v="0"/>
    <m/>
    <n v="69.099999999999994"/>
  </r>
  <r>
    <s v="USR-100404"/>
    <d v="2025-01-20T00:00:00"/>
    <x v="0"/>
    <x v="0"/>
    <x v="1"/>
    <x v="0"/>
    <x v="2"/>
    <n v="0"/>
    <n v="0"/>
    <n v="0"/>
    <n v="0"/>
    <n v="0"/>
    <n v="0"/>
    <n v="1"/>
    <n v="1"/>
    <n v="0"/>
    <m/>
    <n v="70.599999999999994"/>
  </r>
  <r>
    <s v="USR-100405"/>
    <d v="2025-04-22T00:00:00"/>
    <x v="0"/>
    <x v="1"/>
    <x v="0"/>
    <x v="3"/>
    <x v="1"/>
    <n v="1"/>
    <n v="0"/>
    <n v="0"/>
    <n v="0"/>
    <n v="0"/>
    <n v="0"/>
    <n v="0"/>
    <n v="0"/>
    <n v="0"/>
    <m/>
    <n v="57.9"/>
  </r>
  <r>
    <s v="USR-100406"/>
    <d v="2025-01-22T00:00:00"/>
    <x v="0"/>
    <x v="2"/>
    <x v="1"/>
    <x v="1"/>
    <x v="0"/>
    <n v="1"/>
    <n v="1"/>
    <n v="0"/>
    <n v="0"/>
    <n v="0"/>
    <n v="0"/>
    <n v="0"/>
    <n v="0"/>
    <n v="0"/>
    <m/>
    <n v="41.4"/>
  </r>
  <r>
    <s v="USR-100407"/>
    <d v="2025-05-11T00:00:00"/>
    <x v="0"/>
    <x v="1"/>
    <x v="1"/>
    <x v="1"/>
    <x v="0"/>
    <n v="1"/>
    <n v="0"/>
    <n v="0"/>
    <n v="0"/>
    <n v="0"/>
    <n v="0"/>
    <n v="0"/>
    <n v="0"/>
    <n v="0"/>
    <m/>
    <n v="60.9"/>
  </r>
  <r>
    <s v="USR-100408"/>
    <d v="2025-02-06T00:00:00"/>
    <x v="0"/>
    <x v="3"/>
    <x v="1"/>
    <x v="1"/>
    <x v="0"/>
    <n v="0"/>
    <n v="0"/>
    <n v="0"/>
    <n v="0"/>
    <n v="0"/>
    <n v="0"/>
    <n v="1"/>
    <n v="1"/>
    <n v="0"/>
    <m/>
    <n v="63.8"/>
  </r>
  <r>
    <s v="USR-100409"/>
    <d v="2025-02-21T00:00:00"/>
    <x v="0"/>
    <x v="0"/>
    <x v="0"/>
    <x v="1"/>
    <x v="2"/>
    <n v="1"/>
    <n v="0"/>
    <n v="0"/>
    <n v="0"/>
    <n v="0"/>
    <n v="0"/>
    <n v="0"/>
    <n v="0"/>
    <n v="0"/>
    <m/>
    <n v="79.2"/>
  </r>
  <r>
    <s v="USR-100410"/>
    <d v="2025-01-13T00:00:00"/>
    <x v="0"/>
    <x v="1"/>
    <x v="1"/>
    <x v="0"/>
    <x v="2"/>
    <n v="1"/>
    <n v="1"/>
    <n v="1"/>
    <n v="0"/>
    <n v="0"/>
    <n v="0"/>
    <n v="0"/>
    <n v="0"/>
    <n v="0"/>
    <m/>
    <n v="53.3"/>
  </r>
  <r>
    <s v="USR-100411"/>
    <d v="2025-03-07T00:00:00"/>
    <x v="0"/>
    <x v="0"/>
    <x v="1"/>
    <x v="3"/>
    <x v="2"/>
    <n v="1"/>
    <n v="1"/>
    <n v="1"/>
    <n v="1"/>
    <n v="2144.8200000000002"/>
    <n v="1496.19"/>
    <n v="0"/>
    <n v="0"/>
    <n v="0"/>
    <n v="6"/>
    <n v="52.3"/>
  </r>
  <r>
    <s v="USR-100412"/>
    <d v="2025-02-26T00:00:00"/>
    <x v="0"/>
    <x v="1"/>
    <x v="0"/>
    <x v="1"/>
    <x v="0"/>
    <n v="1"/>
    <n v="1"/>
    <n v="0"/>
    <n v="0"/>
    <n v="0"/>
    <n v="0"/>
    <n v="0"/>
    <n v="0"/>
    <n v="0"/>
    <m/>
    <n v="62.4"/>
  </r>
  <r>
    <s v="USR-100413"/>
    <d v="2025-05-05T00:00:00"/>
    <x v="0"/>
    <x v="0"/>
    <x v="1"/>
    <x v="3"/>
    <x v="2"/>
    <n v="1"/>
    <n v="0"/>
    <n v="0"/>
    <n v="0"/>
    <n v="0"/>
    <n v="0"/>
    <n v="0"/>
    <n v="0"/>
    <n v="0"/>
    <m/>
    <n v="45.5"/>
  </r>
  <r>
    <s v="USR-100414"/>
    <d v="2025-01-08T00:00:00"/>
    <x v="0"/>
    <x v="2"/>
    <x v="0"/>
    <x v="1"/>
    <x v="0"/>
    <n v="0"/>
    <n v="0"/>
    <n v="0"/>
    <n v="0"/>
    <n v="0"/>
    <n v="0"/>
    <n v="1"/>
    <n v="1"/>
    <n v="0"/>
    <m/>
    <n v="72.599999999999994"/>
  </r>
  <r>
    <s v="USR-100415"/>
    <d v="2025-03-19T00:00:00"/>
    <x v="0"/>
    <x v="3"/>
    <x v="1"/>
    <x v="0"/>
    <x v="2"/>
    <n v="1"/>
    <n v="1"/>
    <n v="1"/>
    <n v="0"/>
    <n v="0"/>
    <n v="0"/>
    <n v="0"/>
    <n v="0"/>
    <n v="0"/>
    <m/>
    <n v="50.1"/>
  </r>
  <r>
    <s v="USR-100416"/>
    <d v="2025-01-30T00:00:00"/>
    <x v="0"/>
    <x v="2"/>
    <x v="0"/>
    <x v="2"/>
    <x v="1"/>
    <n v="1"/>
    <n v="1"/>
    <n v="1"/>
    <n v="0"/>
    <n v="0"/>
    <n v="0"/>
    <n v="2"/>
    <n v="1"/>
    <n v="0"/>
    <m/>
    <n v="58.1"/>
  </r>
  <r>
    <s v="USR-100417"/>
    <d v="2025-04-28T00:00:00"/>
    <x v="0"/>
    <x v="2"/>
    <x v="1"/>
    <x v="1"/>
    <x v="0"/>
    <n v="1"/>
    <n v="0"/>
    <n v="0"/>
    <n v="0"/>
    <n v="0"/>
    <n v="0"/>
    <n v="0"/>
    <n v="0"/>
    <n v="0"/>
    <m/>
    <n v="42.9"/>
  </r>
  <r>
    <s v="USR-100418"/>
    <d v="2025-03-07T00:00:00"/>
    <x v="0"/>
    <x v="0"/>
    <x v="1"/>
    <x v="3"/>
    <x v="0"/>
    <n v="0"/>
    <n v="0"/>
    <n v="0"/>
    <n v="0"/>
    <n v="0"/>
    <n v="0"/>
    <n v="0"/>
    <n v="0"/>
    <n v="0"/>
    <m/>
    <n v="69.7"/>
  </r>
  <r>
    <s v="USR-100419"/>
    <d v="2025-04-07T00:00:00"/>
    <x v="0"/>
    <x v="0"/>
    <x v="0"/>
    <x v="1"/>
    <x v="1"/>
    <n v="0"/>
    <n v="0"/>
    <n v="0"/>
    <n v="0"/>
    <n v="0"/>
    <n v="0"/>
    <n v="0"/>
    <n v="0"/>
    <n v="0"/>
    <m/>
    <n v="63.3"/>
  </r>
  <r>
    <s v="USR-100420"/>
    <d v="2025-05-08T00:00:00"/>
    <x v="0"/>
    <x v="0"/>
    <x v="0"/>
    <x v="1"/>
    <x v="2"/>
    <n v="1"/>
    <n v="0"/>
    <n v="0"/>
    <n v="0"/>
    <n v="0"/>
    <n v="0"/>
    <n v="0"/>
    <n v="0"/>
    <n v="0"/>
    <m/>
    <n v="71.2"/>
  </r>
  <r>
    <s v="USR-100421"/>
    <d v="2025-04-15T00:00:00"/>
    <x v="0"/>
    <x v="3"/>
    <x v="1"/>
    <x v="0"/>
    <x v="1"/>
    <n v="1"/>
    <n v="0"/>
    <n v="0"/>
    <n v="0"/>
    <n v="0"/>
    <n v="0"/>
    <n v="0"/>
    <n v="0"/>
    <n v="0"/>
    <m/>
    <n v="39.1"/>
  </r>
  <r>
    <s v="USR-100422"/>
    <d v="2025-04-20T00:00:00"/>
    <x v="0"/>
    <x v="2"/>
    <x v="0"/>
    <x v="4"/>
    <x v="1"/>
    <n v="1"/>
    <n v="0"/>
    <n v="0"/>
    <n v="0"/>
    <n v="0"/>
    <n v="0"/>
    <n v="0"/>
    <n v="0"/>
    <n v="0"/>
    <m/>
    <n v="42.6"/>
  </r>
  <r>
    <s v="USR-100423"/>
    <d v="2025-05-30T00:00:00"/>
    <x v="0"/>
    <x v="3"/>
    <x v="2"/>
    <x v="1"/>
    <x v="1"/>
    <n v="0"/>
    <n v="0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x v="1"/>
    <n v="0"/>
    <n v="0"/>
    <n v="0"/>
    <n v="0"/>
    <n v="0"/>
    <n v="0"/>
    <n v="0"/>
    <n v="0"/>
    <n v="0"/>
    <m/>
    <n v="55.6"/>
  </r>
  <r>
    <s v="USR-100425"/>
    <d v="2025-04-28T00:00:00"/>
    <x v="0"/>
    <x v="1"/>
    <x v="1"/>
    <x v="4"/>
    <x v="1"/>
    <n v="1"/>
    <n v="0"/>
    <n v="0"/>
    <n v="0"/>
    <n v="0"/>
    <n v="0"/>
    <n v="0"/>
    <n v="0"/>
    <n v="0"/>
    <m/>
    <n v="35.799999999999997"/>
  </r>
  <r>
    <s v="USR-100426"/>
    <d v="2025-02-12T00:00:00"/>
    <x v="0"/>
    <x v="0"/>
    <x v="1"/>
    <x v="2"/>
    <x v="0"/>
    <n v="1"/>
    <n v="0"/>
    <n v="0"/>
    <n v="0"/>
    <n v="0"/>
    <n v="0"/>
    <n v="1"/>
    <n v="1"/>
    <n v="0"/>
    <m/>
    <n v="28.2"/>
  </r>
  <r>
    <s v="USR-100427"/>
    <d v="2025-02-12T00:00:00"/>
    <x v="0"/>
    <x v="2"/>
    <x v="1"/>
    <x v="1"/>
    <x v="1"/>
    <n v="0"/>
    <n v="0"/>
    <n v="0"/>
    <n v="0"/>
    <n v="0"/>
    <n v="0"/>
    <n v="2"/>
    <n v="1"/>
    <n v="0"/>
    <m/>
    <n v="44.4"/>
  </r>
  <r>
    <s v="USR-100428"/>
    <d v="2025-03-27T00:00:00"/>
    <x v="0"/>
    <x v="0"/>
    <x v="1"/>
    <x v="0"/>
    <x v="2"/>
    <n v="1"/>
    <n v="0"/>
    <n v="0"/>
    <n v="0"/>
    <n v="0"/>
    <n v="0"/>
    <n v="0"/>
    <n v="0"/>
    <n v="0"/>
    <m/>
    <n v="49.9"/>
  </r>
  <r>
    <s v="USR-100429"/>
    <d v="2025-04-12T00:00:00"/>
    <x v="0"/>
    <x v="3"/>
    <x v="0"/>
    <x v="1"/>
    <x v="1"/>
    <n v="0"/>
    <n v="0"/>
    <n v="0"/>
    <n v="0"/>
    <n v="0"/>
    <n v="0"/>
    <n v="0"/>
    <n v="0"/>
    <n v="0"/>
    <m/>
    <n v="40.4"/>
  </r>
  <r>
    <s v="USR-100430"/>
    <d v="2025-01-30T00:00:00"/>
    <x v="0"/>
    <x v="1"/>
    <x v="1"/>
    <x v="4"/>
    <x v="1"/>
    <n v="0"/>
    <n v="0"/>
    <n v="0"/>
    <n v="0"/>
    <n v="0"/>
    <n v="0"/>
    <n v="0"/>
    <n v="0"/>
    <n v="0"/>
    <m/>
    <n v="60.4"/>
  </r>
  <r>
    <s v="USR-100431"/>
    <d v="2025-05-28T00:00:00"/>
    <x v="0"/>
    <x v="1"/>
    <x v="1"/>
    <x v="4"/>
    <x v="2"/>
    <n v="0"/>
    <n v="0"/>
    <n v="0"/>
    <n v="0"/>
    <n v="0"/>
    <n v="0"/>
    <n v="1"/>
    <n v="1"/>
    <n v="0"/>
    <m/>
    <n v="52.4"/>
  </r>
  <r>
    <s v="USR-100432"/>
    <d v="2025-05-01T00:00:00"/>
    <x v="0"/>
    <x v="3"/>
    <x v="1"/>
    <x v="1"/>
    <x v="0"/>
    <n v="1"/>
    <n v="1"/>
    <n v="0"/>
    <n v="0"/>
    <n v="0"/>
    <n v="0"/>
    <n v="0"/>
    <n v="0"/>
    <n v="0"/>
    <m/>
    <n v="48.8"/>
  </r>
  <r>
    <s v="USR-100433"/>
    <d v="2025-02-03T00:00:00"/>
    <x v="0"/>
    <x v="0"/>
    <x v="2"/>
    <x v="0"/>
    <x v="0"/>
    <n v="1"/>
    <n v="0"/>
    <n v="0"/>
    <n v="0"/>
    <n v="0"/>
    <n v="0"/>
    <n v="0"/>
    <n v="0"/>
    <n v="0"/>
    <m/>
    <n v="60.9"/>
  </r>
  <r>
    <s v="USR-100434"/>
    <d v="2025-01-10T00:00:00"/>
    <x v="0"/>
    <x v="3"/>
    <x v="0"/>
    <x v="4"/>
    <x v="0"/>
    <n v="0"/>
    <n v="0"/>
    <n v="0"/>
    <n v="0"/>
    <n v="0"/>
    <n v="0"/>
    <n v="0"/>
    <n v="0"/>
    <n v="0"/>
    <m/>
    <n v="68.2"/>
  </r>
  <r>
    <s v="USR-100435"/>
    <d v="2025-05-02T00:00:00"/>
    <x v="0"/>
    <x v="0"/>
    <x v="0"/>
    <x v="1"/>
    <x v="0"/>
    <n v="1"/>
    <n v="0"/>
    <n v="0"/>
    <n v="0"/>
    <n v="0"/>
    <n v="0"/>
    <n v="0"/>
    <n v="0"/>
    <n v="0"/>
    <m/>
    <n v="65.599999999999994"/>
  </r>
  <r>
    <s v="USR-100436"/>
    <d v="2025-05-26T00:00:00"/>
    <x v="0"/>
    <x v="0"/>
    <x v="0"/>
    <x v="1"/>
    <x v="0"/>
    <n v="1"/>
    <n v="0"/>
    <n v="0"/>
    <n v="0"/>
    <n v="0"/>
    <n v="0"/>
    <n v="0"/>
    <n v="0"/>
    <n v="0"/>
    <m/>
    <n v="65.400000000000006"/>
  </r>
  <r>
    <s v="USR-100437"/>
    <d v="2025-01-12T00:00:00"/>
    <x v="0"/>
    <x v="1"/>
    <x v="1"/>
    <x v="1"/>
    <x v="0"/>
    <n v="1"/>
    <n v="0"/>
    <n v="0"/>
    <n v="0"/>
    <n v="0"/>
    <n v="0"/>
    <n v="0"/>
    <n v="0"/>
    <n v="0"/>
    <m/>
    <n v="78.900000000000006"/>
  </r>
  <r>
    <s v="USR-100438"/>
    <d v="2025-05-27T00:00:00"/>
    <x v="0"/>
    <x v="2"/>
    <x v="1"/>
    <x v="2"/>
    <x v="0"/>
    <n v="1"/>
    <n v="1"/>
    <n v="1"/>
    <n v="0"/>
    <n v="0"/>
    <n v="0"/>
    <n v="0"/>
    <n v="0"/>
    <n v="0"/>
    <m/>
    <n v="78.3"/>
  </r>
  <r>
    <s v="USR-100439"/>
    <d v="2025-05-22T00:00:00"/>
    <x v="0"/>
    <x v="1"/>
    <x v="0"/>
    <x v="0"/>
    <x v="0"/>
    <n v="0"/>
    <n v="0"/>
    <n v="0"/>
    <n v="0"/>
    <n v="0"/>
    <n v="0"/>
    <n v="0"/>
    <n v="0"/>
    <n v="0"/>
    <m/>
    <n v="49.2"/>
  </r>
  <r>
    <s v="USR-100440"/>
    <d v="2025-04-01T00:00:00"/>
    <x v="0"/>
    <x v="2"/>
    <x v="1"/>
    <x v="4"/>
    <x v="2"/>
    <n v="1"/>
    <n v="1"/>
    <n v="1"/>
    <n v="1"/>
    <n v="1518.83"/>
    <n v="1496.19"/>
    <n v="0"/>
    <n v="0"/>
    <n v="0"/>
    <n v="9"/>
    <n v="32.200000000000003"/>
  </r>
  <r>
    <s v="USR-100441"/>
    <d v="2025-01-22T00:00:00"/>
    <x v="0"/>
    <x v="0"/>
    <x v="1"/>
    <x v="2"/>
    <x v="0"/>
    <n v="1"/>
    <n v="1"/>
    <n v="1"/>
    <n v="0"/>
    <n v="0"/>
    <n v="0"/>
    <n v="0"/>
    <n v="0"/>
    <n v="0"/>
    <m/>
    <n v="46.3"/>
  </r>
  <r>
    <s v="USR-100442"/>
    <d v="2025-05-24T00:00:00"/>
    <x v="0"/>
    <x v="2"/>
    <x v="1"/>
    <x v="2"/>
    <x v="0"/>
    <n v="1"/>
    <n v="0"/>
    <n v="0"/>
    <n v="0"/>
    <n v="0"/>
    <n v="0"/>
    <n v="0"/>
    <n v="0"/>
    <n v="0"/>
    <m/>
    <n v="55.7"/>
  </r>
  <r>
    <s v="USR-100443"/>
    <d v="2025-04-25T00:00:00"/>
    <x v="0"/>
    <x v="3"/>
    <x v="1"/>
    <x v="4"/>
    <x v="1"/>
    <n v="1"/>
    <n v="0"/>
    <n v="0"/>
    <n v="0"/>
    <n v="0"/>
    <n v="0"/>
    <n v="0"/>
    <n v="0"/>
    <n v="0"/>
    <m/>
    <n v="44.5"/>
  </r>
  <r>
    <s v="USR-100444"/>
    <d v="2025-04-12T00:00:00"/>
    <x v="0"/>
    <x v="1"/>
    <x v="0"/>
    <x v="3"/>
    <x v="1"/>
    <n v="1"/>
    <n v="1"/>
    <n v="1"/>
    <n v="0"/>
    <n v="0"/>
    <n v="0"/>
    <n v="1"/>
    <n v="1"/>
    <n v="0"/>
    <m/>
    <n v="47.9"/>
  </r>
  <r>
    <s v="USR-100445"/>
    <d v="2025-04-23T00:00:00"/>
    <x v="0"/>
    <x v="3"/>
    <x v="1"/>
    <x v="1"/>
    <x v="2"/>
    <n v="1"/>
    <n v="0"/>
    <n v="0"/>
    <n v="0"/>
    <n v="0"/>
    <n v="0"/>
    <n v="0"/>
    <n v="0"/>
    <n v="0"/>
    <m/>
    <n v="43.9"/>
  </r>
  <r>
    <s v="USR-100446"/>
    <d v="2025-03-30T00:00:00"/>
    <x v="0"/>
    <x v="0"/>
    <x v="0"/>
    <x v="3"/>
    <x v="1"/>
    <n v="1"/>
    <n v="1"/>
    <n v="1"/>
    <n v="0"/>
    <n v="0"/>
    <n v="0"/>
    <n v="1"/>
    <n v="1"/>
    <n v="0"/>
    <m/>
    <n v="67.7"/>
  </r>
  <r>
    <s v="USR-100447"/>
    <d v="2025-01-18T00:00:00"/>
    <x v="0"/>
    <x v="2"/>
    <x v="1"/>
    <x v="3"/>
    <x v="0"/>
    <n v="0"/>
    <n v="0"/>
    <n v="0"/>
    <n v="0"/>
    <n v="0"/>
    <n v="0"/>
    <n v="0"/>
    <n v="0"/>
    <n v="0"/>
    <m/>
    <n v="43.7"/>
  </r>
  <r>
    <s v="USR-100448"/>
    <d v="2025-04-09T00:00:00"/>
    <x v="0"/>
    <x v="2"/>
    <x v="1"/>
    <x v="1"/>
    <x v="1"/>
    <n v="1"/>
    <n v="0"/>
    <n v="0"/>
    <n v="0"/>
    <n v="0"/>
    <n v="0"/>
    <n v="0"/>
    <n v="0"/>
    <n v="0"/>
    <m/>
    <n v="68.8"/>
  </r>
  <r>
    <s v="USR-100449"/>
    <d v="2025-01-11T00:00:00"/>
    <x v="0"/>
    <x v="1"/>
    <x v="1"/>
    <x v="1"/>
    <x v="1"/>
    <n v="1"/>
    <n v="1"/>
    <n v="1"/>
    <n v="0"/>
    <n v="0"/>
    <n v="0"/>
    <n v="0"/>
    <n v="0"/>
    <n v="0"/>
    <m/>
    <n v="59.2"/>
  </r>
  <r>
    <s v="USR-100450"/>
    <d v="2025-03-05T00:00:00"/>
    <x v="0"/>
    <x v="2"/>
    <x v="1"/>
    <x v="2"/>
    <x v="1"/>
    <n v="1"/>
    <n v="0"/>
    <n v="0"/>
    <n v="0"/>
    <n v="0"/>
    <n v="0"/>
    <n v="0"/>
    <n v="0"/>
    <n v="0"/>
    <m/>
    <n v="48.6"/>
  </r>
  <r>
    <s v="USR-100451"/>
    <d v="2025-02-17T00:00:00"/>
    <x v="0"/>
    <x v="0"/>
    <x v="2"/>
    <x v="4"/>
    <x v="1"/>
    <n v="1"/>
    <n v="1"/>
    <n v="1"/>
    <n v="0"/>
    <n v="0"/>
    <n v="0"/>
    <n v="0"/>
    <n v="0"/>
    <n v="0"/>
    <m/>
    <n v="56.9"/>
  </r>
  <r>
    <s v="USR-100452"/>
    <d v="2025-05-07T00:00:00"/>
    <x v="0"/>
    <x v="0"/>
    <x v="0"/>
    <x v="2"/>
    <x v="1"/>
    <n v="0"/>
    <n v="0"/>
    <n v="0"/>
    <n v="0"/>
    <n v="0"/>
    <n v="0"/>
    <n v="0"/>
    <n v="0"/>
    <n v="0"/>
    <m/>
    <n v="55.8"/>
  </r>
  <r>
    <s v="USR-100453"/>
    <d v="2025-04-10T00:00:00"/>
    <x v="0"/>
    <x v="2"/>
    <x v="1"/>
    <x v="2"/>
    <x v="2"/>
    <n v="0"/>
    <n v="0"/>
    <n v="0"/>
    <n v="0"/>
    <n v="0"/>
    <n v="0"/>
    <n v="0"/>
    <n v="0"/>
    <n v="0"/>
    <m/>
    <n v="63.3"/>
  </r>
  <r>
    <s v="USR-100454"/>
    <d v="2025-04-21T00:00:00"/>
    <x v="0"/>
    <x v="0"/>
    <x v="1"/>
    <x v="4"/>
    <x v="1"/>
    <n v="1"/>
    <n v="0"/>
    <n v="0"/>
    <n v="0"/>
    <n v="0"/>
    <n v="0"/>
    <n v="0"/>
    <n v="0"/>
    <n v="0"/>
    <m/>
    <n v="52.2"/>
  </r>
  <r>
    <s v="USR-100455"/>
    <d v="2025-02-25T00:00:00"/>
    <x v="0"/>
    <x v="3"/>
    <x v="2"/>
    <x v="5"/>
    <x v="1"/>
    <n v="0"/>
    <n v="0"/>
    <n v="0"/>
    <n v="0"/>
    <n v="0"/>
    <n v="0"/>
    <n v="0"/>
    <n v="0"/>
    <n v="0"/>
    <m/>
    <n v="51.5"/>
  </r>
  <r>
    <s v="USR-100456"/>
    <d v="2025-05-14T00:00:00"/>
    <x v="0"/>
    <x v="2"/>
    <x v="0"/>
    <x v="1"/>
    <x v="1"/>
    <n v="0"/>
    <n v="0"/>
    <n v="0"/>
    <n v="0"/>
    <n v="0"/>
    <n v="0"/>
    <n v="0"/>
    <n v="0"/>
    <n v="0"/>
    <m/>
    <n v="50.3"/>
  </r>
  <r>
    <s v="USR-100457"/>
    <d v="2025-03-10T00:00:00"/>
    <x v="0"/>
    <x v="0"/>
    <x v="1"/>
    <x v="0"/>
    <x v="0"/>
    <n v="1"/>
    <n v="0"/>
    <n v="0"/>
    <n v="0"/>
    <n v="0"/>
    <n v="0"/>
    <n v="1"/>
    <n v="1"/>
    <n v="0"/>
    <m/>
    <n v="35.4"/>
  </r>
  <r>
    <s v="USR-100458"/>
    <d v="2025-01-31T00:00:00"/>
    <x v="0"/>
    <x v="1"/>
    <x v="0"/>
    <x v="1"/>
    <x v="2"/>
    <n v="1"/>
    <n v="0"/>
    <n v="0"/>
    <n v="0"/>
    <n v="0"/>
    <n v="0"/>
    <n v="1"/>
    <n v="1"/>
    <n v="0"/>
    <m/>
    <n v="54.1"/>
  </r>
  <r>
    <s v="USR-100459"/>
    <d v="2025-01-17T00:00:00"/>
    <x v="0"/>
    <x v="3"/>
    <x v="1"/>
    <x v="1"/>
    <x v="2"/>
    <n v="1"/>
    <n v="0"/>
    <n v="0"/>
    <n v="0"/>
    <n v="0"/>
    <n v="0"/>
    <n v="0"/>
    <n v="0"/>
    <n v="0"/>
    <m/>
    <n v="56.2"/>
  </r>
  <r>
    <s v="USR-100460"/>
    <d v="2025-03-12T00:00:00"/>
    <x v="0"/>
    <x v="3"/>
    <x v="1"/>
    <x v="2"/>
    <x v="1"/>
    <n v="0"/>
    <n v="0"/>
    <n v="0"/>
    <n v="0"/>
    <n v="0"/>
    <n v="0"/>
    <n v="3"/>
    <n v="1"/>
    <n v="0"/>
    <m/>
    <n v="43.7"/>
  </r>
  <r>
    <s v="USR-100461"/>
    <d v="2025-02-28T00:00:00"/>
    <x v="0"/>
    <x v="1"/>
    <x v="0"/>
    <x v="1"/>
    <x v="2"/>
    <n v="1"/>
    <n v="1"/>
    <n v="0"/>
    <n v="0"/>
    <n v="0"/>
    <n v="0"/>
    <n v="0"/>
    <n v="0"/>
    <n v="0"/>
    <m/>
    <n v="51.3"/>
  </r>
  <r>
    <s v="USR-100462"/>
    <d v="2025-05-19T00:00:00"/>
    <x v="0"/>
    <x v="0"/>
    <x v="3"/>
    <x v="1"/>
    <x v="0"/>
    <n v="1"/>
    <n v="0"/>
    <n v="0"/>
    <n v="0"/>
    <n v="0"/>
    <n v="0"/>
    <n v="0"/>
    <n v="0"/>
    <n v="0"/>
    <m/>
    <n v="50.5"/>
  </r>
  <r>
    <s v="USR-100463"/>
    <d v="2025-02-23T00:00:00"/>
    <x v="0"/>
    <x v="0"/>
    <x v="1"/>
    <x v="3"/>
    <x v="0"/>
    <n v="1"/>
    <n v="0"/>
    <n v="0"/>
    <n v="0"/>
    <n v="0"/>
    <n v="0"/>
    <n v="0"/>
    <n v="0"/>
    <n v="0"/>
    <m/>
    <n v="57.3"/>
  </r>
  <r>
    <s v="USR-100464"/>
    <d v="2025-02-20T00:00:00"/>
    <x v="0"/>
    <x v="1"/>
    <x v="0"/>
    <x v="1"/>
    <x v="1"/>
    <n v="1"/>
    <n v="1"/>
    <n v="1"/>
    <n v="0"/>
    <n v="0"/>
    <n v="0"/>
    <n v="0"/>
    <n v="0"/>
    <n v="0"/>
    <m/>
    <n v="58.4"/>
  </r>
  <r>
    <s v="USR-100465"/>
    <d v="2025-04-12T00:00:00"/>
    <x v="0"/>
    <x v="0"/>
    <x v="1"/>
    <x v="5"/>
    <x v="1"/>
    <n v="0"/>
    <n v="0"/>
    <n v="0"/>
    <n v="0"/>
    <n v="0"/>
    <n v="0"/>
    <n v="0"/>
    <n v="0"/>
    <n v="0"/>
    <m/>
    <n v="56.5"/>
  </r>
  <r>
    <s v="USR-100466"/>
    <d v="2025-01-08T00:00:00"/>
    <x v="0"/>
    <x v="1"/>
    <x v="1"/>
    <x v="0"/>
    <x v="1"/>
    <n v="0"/>
    <n v="0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x v="0"/>
    <n v="0"/>
    <n v="0"/>
    <n v="0"/>
    <n v="0"/>
    <n v="0"/>
    <n v="0"/>
    <n v="0"/>
    <n v="0"/>
    <n v="0"/>
    <m/>
    <n v="6.2"/>
  </r>
  <r>
    <s v="USR-100468"/>
    <d v="2025-05-21T00:00:00"/>
    <x v="0"/>
    <x v="2"/>
    <x v="0"/>
    <x v="0"/>
    <x v="1"/>
    <n v="1"/>
    <n v="1"/>
    <n v="1"/>
    <n v="0"/>
    <n v="0"/>
    <n v="0"/>
    <n v="0"/>
    <n v="0"/>
    <n v="0"/>
    <m/>
    <n v="54.3"/>
  </r>
  <r>
    <s v="USR-100469"/>
    <d v="2025-05-30T00:00:00"/>
    <x v="0"/>
    <x v="0"/>
    <x v="1"/>
    <x v="1"/>
    <x v="0"/>
    <n v="0"/>
    <n v="0"/>
    <n v="0"/>
    <n v="0"/>
    <n v="0"/>
    <n v="0"/>
    <n v="0"/>
    <n v="0"/>
    <n v="0"/>
    <m/>
    <n v="59.8"/>
  </r>
  <r>
    <s v="USR-100470"/>
    <d v="2025-05-20T00:00:00"/>
    <x v="0"/>
    <x v="1"/>
    <x v="1"/>
    <x v="2"/>
    <x v="1"/>
    <n v="0"/>
    <n v="0"/>
    <n v="0"/>
    <n v="0"/>
    <n v="0"/>
    <n v="0"/>
    <n v="0"/>
    <n v="0"/>
    <n v="0"/>
    <m/>
    <n v="58.9"/>
  </r>
  <r>
    <s v="USR-100471"/>
    <d v="2025-01-09T00:00:00"/>
    <x v="0"/>
    <x v="2"/>
    <x v="0"/>
    <x v="1"/>
    <x v="1"/>
    <n v="0"/>
    <n v="0"/>
    <n v="0"/>
    <n v="0"/>
    <n v="0"/>
    <n v="0"/>
    <n v="1"/>
    <n v="1"/>
    <n v="0"/>
    <m/>
    <n v="52.9"/>
  </r>
  <r>
    <s v="USR-100472"/>
    <d v="2025-03-07T00:00:00"/>
    <x v="0"/>
    <x v="1"/>
    <x v="1"/>
    <x v="1"/>
    <x v="1"/>
    <n v="0"/>
    <n v="0"/>
    <n v="0"/>
    <n v="0"/>
    <n v="0"/>
    <n v="0"/>
    <n v="0"/>
    <n v="0"/>
    <n v="0"/>
    <m/>
    <n v="67.8"/>
  </r>
  <r>
    <s v="USR-100473"/>
    <d v="2025-04-23T00:00:00"/>
    <x v="0"/>
    <x v="3"/>
    <x v="1"/>
    <x v="4"/>
    <x v="1"/>
    <n v="0"/>
    <n v="0"/>
    <n v="0"/>
    <n v="0"/>
    <n v="0"/>
    <n v="0"/>
    <n v="0"/>
    <n v="0"/>
    <n v="0"/>
    <m/>
    <n v="48.7"/>
  </r>
  <r>
    <s v="USR-100474"/>
    <d v="2025-03-08T00:00:00"/>
    <x v="0"/>
    <x v="2"/>
    <x v="1"/>
    <x v="1"/>
    <x v="0"/>
    <n v="0"/>
    <n v="0"/>
    <n v="0"/>
    <n v="0"/>
    <n v="0"/>
    <n v="0"/>
    <n v="0"/>
    <n v="0"/>
    <n v="0"/>
    <m/>
    <n v="59"/>
  </r>
  <r>
    <s v="USR-100475"/>
    <d v="2025-02-14T00:00:00"/>
    <x v="0"/>
    <x v="3"/>
    <x v="1"/>
    <x v="3"/>
    <x v="1"/>
    <n v="0"/>
    <n v="0"/>
    <n v="0"/>
    <n v="0"/>
    <n v="0"/>
    <n v="0"/>
    <n v="0"/>
    <n v="0"/>
    <n v="0"/>
    <m/>
    <n v="63.2"/>
  </r>
  <r>
    <s v="USR-100476"/>
    <d v="2025-05-17T00:00:00"/>
    <x v="0"/>
    <x v="1"/>
    <x v="1"/>
    <x v="3"/>
    <x v="0"/>
    <n v="1"/>
    <n v="0"/>
    <n v="0"/>
    <n v="0"/>
    <n v="0"/>
    <n v="0"/>
    <n v="0"/>
    <n v="0"/>
    <n v="0"/>
    <m/>
    <n v="68.7"/>
  </r>
  <r>
    <s v="USR-100477"/>
    <d v="2025-04-25T00:00:00"/>
    <x v="0"/>
    <x v="3"/>
    <x v="1"/>
    <x v="3"/>
    <x v="1"/>
    <n v="0"/>
    <n v="0"/>
    <n v="0"/>
    <n v="0"/>
    <n v="0"/>
    <n v="0"/>
    <n v="0"/>
    <n v="0"/>
    <n v="0"/>
    <m/>
    <n v="52.1"/>
  </r>
  <r>
    <s v="USR-100478"/>
    <d v="2025-03-04T00:00:00"/>
    <x v="0"/>
    <x v="3"/>
    <x v="0"/>
    <x v="4"/>
    <x v="0"/>
    <n v="0"/>
    <n v="0"/>
    <n v="0"/>
    <n v="0"/>
    <n v="0"/>
    <n v="0"/>
    <n v="0"/>
    <n v="0"/>
    <n v="0"/>
    <m/>
    <n v="56.5"/>
  </r>
  <r>
    <s v="USR-100479"/>
    <d v="2025-03-18T00:00:00"/>
    <x v="0"/>
    <x v="3"/>
    <x v="1"/>
    <x v="1"/>
    <x v="1"/>
    <n v="1"/>
    <n v="0"/>
    <n v="0"/>
    <n v="0"/>
    <n v="0"/>
    <n v="0"/>
    <n v="0"/>
    <n v="0"/>
    <n v="0"/>
    <m/>
    <n v="64.400000000000006"/>
  </r>
  <r>
    <s v="USR-100480"/>
    <d v="2025-01-30T00:00:00"/>
    <x v="0"/>
    <x v="1"/>
    <x v="1"/>
    <x v="2"/>
    <x v="2"/>
    <n v="1"/>
    <n v="0"/>
    <n v="0"/>
    <n v="0"/>
    <n v="0"/>
    <n v="0"/>
    <n v="0"/>
    <n v="0"/>
    <n v="0"/>
    <m/>
    <n v="65.900000000000006"/>
  </r>
  <r>
    <s v="USR-100481"/>
    <d v="2025-05-20T00:00:00"/>
    <x v="0"/>
    <x v="1"/>
    <x v="2"/>
    <x v="3"/>
    <x v="1"/>
    <n v="1"/>
    <n v="1"/>
    <n v="1"/>
    <n v="0"/>
    <n v="0"/>
    <n v="0"/>
    <n v="0"/>
    <n v="0"/>
    <n v="0"/>
    <m/>
    <n v="100"/>
  </r>
  <r>
    <s v="USR-100482"/>
    <d v="2025-02-13T00:00:00"/>
    <x v="0"/>
    <x v="0"/>
    <x v="3"/>
    <x v="1"/>
    <x v="0"/>
    <n v="1"/>
    <n v="1"/>
    <n v="1"/>
    <n v="0"/>
    <n v="0"/>
    <n v="0"/>
    <n v="0"/>
    <n v="0"/>
    <n v="0"/>
    <m/>
    <n v="50.4"/>
  </r>
  <r>
    <s v="USR-100483"/>
    <d v="2025-04-12T00:00:00"/>
    <x v="0"/>
    <x v="1"/>
    <x v="0"/>
    <x v="1"/>
    <x v="0"/>
    <n v="0"/>
    <n v="0"/>
    <n v="0"/>
    <n v="0"/>
    <n v="0"/>
    <n v="0"/>
    <n v="0"/>
    <n v="0"/>
    <n v="0"/>
    <m/>
    <n v="41.5"/>
  </r>
  <r>
    <s v="USR-100484"/>
    <d v="2025-04-07T00:00:00"/>
    <x v="0"/>
    <x v="0"/>
    <x v="1"/>
    <x v="0"/>
    <x v="1"/>
    <n v="0"/>
    <n v="0"/>
    <n v="0"/>
    <n v="0"/>
    <n v="0"/>
    <n v="0"/>
    <n v="0"/>
    <n v="0"/>
    <n v="0"/>
    <m/>
    <n v="86.2"/>
  </r>
  <r>
    <s v="USR-100485"/>
    <d v="2025-03-12T00:00:00"/>
    <x v="0"/>
    <x v="0"/>
    <x v="0"/>
    <x v="4"/>
    <x v="1"/>
    <n v="1"/>
    <n v="1"/>
    <n v="1"/>
    <n v="0"/>
    <n v="0"/>
    <n v="0"/>
    <n v="2"/>
    <n v="1"/>
    <n v="0"/>
    <m/>
    <n v="50.8"/>
  </r>
  <r>
    <s v="USR-100486"/>
    <d v="2025-02-07T00:00:00"/>
    <x v="0"/>
    <x v="1"/>
    <x v="1"/>
    <x v="1"/>
    <x v="1"/>
    <n v="1"/>
    <n v="0"/>
    <n v="0"/>
    <n v="0"/>
    <n v="0"/>
    <n v="0"/>
    <n v="0"/>
    <n v="0"/>
    <n v="0"/>
    <m/>
    <n v="50.9"/>
  </r>
  <r>
    <s v="USR-100487"/>
    <d v="2025-05-05T00:00:00"/>
    <x v="0"/>
    <x v="0"/>
    <x v="1"/>
    <x v="1"/>
    <x v="2"/>
    <n v="1"/>
    <n v="1"/>
    <n v="0"/>
    <n v="0"/>
    <n v="0"/>
    <n v="0"/>
    <n v="0"/>
    <n v="0"/>
    <n v="0"/>
    <m/>
    <n v="87.5"/>
  </r>
  <r>
    <s v="USR-100488"/>
    <d v="2025-03-18T00:00:00"/>
    <x v="0"/>
    <x v="3"/>
    <x v="1"/>
    <x v="3"/>
    <x v="1"/>
    <n v="0"/>
    <n v="0"/>
    <n v="0"/>
    <n v="0"/>
    <n v="0"/>
    <n v="0"/>
    <n v="0"/>
    <n v="0"/>
    <n v="0"/>
    <m/>
    <n v="43.6"/>
  </r>
  <r>
    <s v="USR-100489"/>
    <d v="2025-01-05T00:00:00"/>
    <x v="0"/>
    <x v="3"/>
    <x v="1"/>
    <x v="2"/>
    <x v="0"/>
    <n v="1"/>
    <n v="0"/>
    <n v="0"/>
    <n v="0"/>
    <n v="0"/>
    <n v="0"/>
    <n v="0"/>
    <n v="0"/>
    <n v="0"/>
    <m/>
    <n v="55.5"/>
  </r>
  <r>
    <s v="USR-100490"/>
    <d v="2025-05-10T00:00:00"/>
    <x v="0"/>
    <x v="3"/>
    <x v="0"/>
    <x v="3"/>
    <x v="0"/>
    <n v="0"/>
    <n v="0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x v="0"/>
    <n v="1"/>
    <n v="1"/>
    <n v="0"/>
    <n v="0"/>
    <n v="0"/>
    <n v="0"/>
    <n v="1"/>
    <n v="1"/>
    <n v="0"/>
    <m/>
    <n v="44.3"/>
  </r>
  <r>
    <s v="USR-100492"/>
    <d v="2025-05-08T00:00:00"/>
    <x v="0"/>
    <x v="3"/>
    <x v="1"/>
    <x v="2"/>
    <x v="1"/>
    <n v="1"/>
    <n v="1"/>
    <n v="0"/>
    <n v="0"/>
    <n v="0"/>
    <n v="0"/>
    <n v="0"/>
    <n v="0"/>
    <n v="0"/>
    <m/>
    <n v="45.2"/>
  </r>
  <r>
    <s v="USR-100493"/>
    <d v="2025-03-05T00:00:00"/>
    <x v="0"/>
    <x v="3"/>
    <x v="0"/>
    <x v="0"/>
    <x v="0"/>
    <n v="1"/>
    <n v="0"/>
    <n v="0"/>
    <n v="0"/>
    <n v="0"/>
    <n v="0"/>
    <n v="2"/>
    <n v="1"/>
    <n v="0"/>
    <m/>
    <n v="46.1"/>
  </r>
  <r>
    <s v="USR-100494"/>
    <d v="2025-02-17T00:00:00"/>
    <x v="0"/>
    <x v="0"/>
    <x v="1"/>
    <x v="1"/>
    <x v="2"/>
    <n v="1"/>
    <n v="0"/>
    <n v="0"/>
    <n v="0"/>
    <n v="0"/>
    <n v="0"/>
    <n v="0"/>
    <n v="0"/>
    <n v="0"/>
    <m/>
    <n v="49.6"/>
  </r>
  <r>
    <s v="USR-100495"/>
    <d v="2025-01-09T00:00:00"/>
    <x v="0"/>
    <x v="3"/>
    <x v="1"/>
    <x v="3"/>
    <x v="0"/>
    <n v="0"/>
    <n v="0"/>
    <n v="0"/>
    <n v="0"/>
    <n v="0"/>
    <n v="0"/>
    <n v="0"/>
    <n v="0"/>
    <n v="0"/>
    <m/>
    <n v="70.5"/>
  </r>
  <r>
    <s v="USR-100496"/>
    <d v="2025-05-05T00:00:00"/>
    <x v="0"/>
    <x v="3"/>
    <x v="1"/>
    <x v="0"/>
    <x v="0"/>
    <n v="0"/>
    <n v="0"/>
    <n v="0"/>
    <n v="0"/>
    <n v="0"/>
    <n v="0"/>
    <n v="1"/>
    <n v="1"/>
    <n v="0"/>
    <m/>
    <n v="60.8"/>
  </r>
  <r>
    <s v="USR-100497"/>
    <d v="2025-04-16T00:00:00"/>
    <x v="0"/>
    <x v="2"/>
    <x v="1"/>
    <x v="0"/>
    <x v="0"/>
    <n v="0"/>
    <n v="0"/>
    <n v="0"/>
    <n v="0"/>
    <n v="0"/>
    <n v="0"/>
    <n v="1"/>
    <n v="1"/>
    <n v="0"/>
    <m/>
    <n v="50.5"/>
  </r>
  <r>
    <s v="USR-100498"/>
    <d v="2025-03-02T00:00:00"/>
    <x v="0"/>
    <x v="3"/>
    <x v="0"/>
    <x v="1"/>
    <x v="1"/>
    <n v="1"/>
    <n v="0"/>
    <n v="0"/>
    <n v="0"/>
    <n v="0"/>
    <n v="0"/>
    <n v="0"/>
    <n v="0"/>
    <n v="0"/>
    <m/>
    <n v="54.9"/>
  </r>
  <r>
    <s v="USR-100499"/>
    <d v="2025-04-14T00:00:00"/>
    <x v="0"/>
    <x v="3"/>
    <x v="1"/>
    <x v="4"/>
    <x v="2"/>
    <n v="0"/>
    <n v="0"/>
    <n v="0"/>
    <n v="0"/>
    <n v="0"/>
    <n v="0"/>
    <n v="0"/>
    <n v="0"/>
    <n v="0"/>
    <m/>
    <n v="29.9"/>
  </r>
  <r>
    <s v="USR-100500"/>
    <d v="2025-02-15T00:00:00"/>
    <x v="0"/>
    <x v="2"/>
    <x v="0"/>
    <x v="2"/>
    <x v="0"/>
    <n v="0"/>
    <n v="0"/>
    <n v="0"/>
    <n v="0"/>
    <n v="0"/>
    <n v="0"/>
    <n v="0"/>
    <n v="0"/>
    <n v="0"/>
    <m/>
    <n v="48.3"/>
  </r>
  <r>
    <s v="USR-100501"/>
    <d v="2025-02-13T00:00:00"/>
    <x v="0"/>
    <x v="1"/>
    <x v="1"/>
    <x v="4"/>
    <x v="1"/>
    <n v="1"/>
    <n v="1"/>
    <n v="1"/>
    <n v="1"/>
    <n v="513.61"/>
    <n v="513.61"/>
    <n v="0"/>
    <n v="0"/>
    <n v="0"/>
    <n v="7"/>
    <n v="41.3"/>
  </r>
  <r>
    <s v="USR-100502"/>
    <d v="2025-03-06T00:00:00"/>
    <x v="0"/>
    <x v="0"/>
    <x v="1"/>
    <x v="0"/>
    <x v="1"/>
    <n v="0"/>
    <n v="0"/>
    <n v="0"/>
    <n v="0"/>
    <n v="0"/>
    <n v="0"/>
    <n v="0"/>
    <n v="0"/>
    <n v="0"/>
    <m/>
    <n v="61.4"/>
  </r>
  <r>
    <s v="USR-100503"/>
    <d v="2025-02-18T00:00:00"/>
    <x v="0"/>
    <x v="3"/>
    <x v="0"/>
    <x v="4"/>
    <x v="1"/>
    <n v="0"/>
    <n v="0"/>
    <n v="0"/>
    <n v="0"/>
    <n v="0"/>
    <n v="0"/>
    <n v="0"/>
    <n v="0"/>
    <n v="0"/>
    <m/>
    <n v="57.8"/>
  </r>
  <r>
    <s v="USR-100504"/>
    <d v="2025-04-07T00:00:00"/>
    <x v="0"/>
    <x v="0"/>
    <x v="0"/>
    <x v="1"/>
    <x v="1"/>
    <n v="0"/>
    <n v="0"/>
    <n v="0"/>
    <n v="0"/>
    <n v="0"/>
    <n v="0"/>
    <n v="0"/>
    <n v="0"/>
    <n v="0"/>
    <m/>
    <n v="78.2"/>
  </r>
  <r>
    <s v="USR-100505"/>
    <d v="2025-04-06T00:00:00"/>
    <x v="0"/>
    <x v="0"/>
    <x v="1"/>
    <x v="3"/>
    <x v="1"/>
    <n v="0"/>
    <n v="0"/>
    <n v="0"/>
    <n v="0"/>
    <n v="0"/>
    <n v="0"/>
    <n v="0"/>
    <n v="0"/>
    <n v="0"/>
    <m/>
    <n v="63.8"/>
  </r>
  <r>
    <s v="USR-100506"/>
    <d v="2025-01-30T00:00:00"/>
    <x v="0"/>
    <x v="0"/>
    <x v="0"/>
    <x v="4"/>
    <x v="1"/>
    <n v="1"/>
    <n v="0"/>
    <n v="0"/>
    <n v="0"/>
    <n v="0"/>
    <n v="0"/>
    <n v="0"/>
    <n v="0"/>
    <n v="0"/>
    <m/>
    <n v="56.8"/>
  </r>
  <r>
    <s v="USR-100507"/>
    <d v="2025-05-13T00:00:00"/>
    <x v="0"/>
    <x v="3"/>
    <x v="0"/>
    <x v="1"/>
    <x v="0"/>
    <n v="1"/>
    <n v="1"/>
    <n v="0"/>
    <n v="0"/>
    <n v="0"/>
    <n v="0"/>
    <n v="0"/>
    <n v="0"/>
    <n v="0"/>
    <m/>
    <n v="59.6"/>
  </r>
  <r>
    <s v="USR-100508"/>
    <d v="2025-01-20T00:00:00"/>
    <x v="0"/>
    <x v="1"/>
    <x v="1"/>
    <x v="2"/>
    <x v="2"/>
    <n v="1"/>
    <n v="1"/>
    <n v="0"/>
    <n v="0"/>
    <n v="0"/>
    <n v="0"/>
    <n v="0"/>
    <n v="0"/>
    <n v="0"/>
    <m/>
    <n v="50"/>
  </r>
  <r>
    <s v="USR-100509"/>
    <d v="2025-01-30T00:00:00"/>
    <x v="0"/>
    <x v="0"/>
    <x v="2"/>
    <x v="1"/>
    <x v="1"/>
    <n v="1"/>
    <n v="0"/>
    <n v="0"/>
    <n v="0"/>
    <n v="0"/>
    <n v="0"/>
    <n v="0"/>
    <n v="0"/>
    <n v="0"/>
    <m/>
    <n v="35.700000000000003"/>
  </r>
  <r>
    <s v="USR-100510"/>
    <d v="2025-01-13T00:00:00"/>
    <x v="0"/>
    <x v="3"/>
    <x v="1"/>
    <x v="1"/>
    <x v="1"/>
    <n v="0"/>
    <n v="0"/>
    <n v="0"/>
    <n v="0"/>
    <n v="0"/>
    <n v="0"/>
    <n v="2"/>
    <n v="1"/>
    <n v="0"/>
    <m/>
    <n v="47.2"/>
  </r>
  <r>
    <s v="USR-100511"/>
    <d v="2025-02-11T00:00:00"/>
    <x v="0"/>
    <x v="0"/>
    <x v="1"/>
    <x v="4"/>
    <x v="1"/>
    <n v="1"/>
    <n v="1"/>
    <n v="0"/>
    <n v="0"/>
    <n v="0"/>
    <n v="0"/>
    <n v="0"/>
    <n v="0"/>
    <n v="0"/>
    <m/>
    <n v="56.9"/>
  </r>
  <r>
    <s v="USR-100512"/>
    <d v="2025-04-15T00:00:00"/>
    <x v="0"/>
    <x v="3"/>
    <x v="1"/>
    <x v="1"/>
    <x v="1"/>
    <n v="0"/>
    <n v="0"/>
    <n v="0"/>
    <n v="0"/>
    <n v="0"/>
    <n v="0"/>
    <n v="1"/>
    <n v="1"/>
    <n v="0"/>
    <m/>
    <n v="57.2"/>
  </r>
  <r>
    <s v="USR-100513"/>
    <d v="2025-02-13T00:00:00"/>
    <x v="0"/>
    <x v="3"/>
    <x v="1"/>
    <x v="5"/>
    <x v="1"/>
    <n v="1"/>
    <n v="1"/>
    <n v="0"/>
    <n v="0"/>
    <n v="0"/>
    <n v="0"/>
    <n v="0"/>
    <n v="0"/>
    <n v="0"/>
    <m/>
    <n v="31.4"/>
  </r>
  <r>
    <s v="USR-100514"/>
    <d v="2025-05-09T00:00:00"/>
    <x v="0"/>
    <x v="3"/>
    <x v="0"/>
    <x v="1"/>
    <x v="1"/>
    <n v="0"/>
    <n v="0"/>
    <n v="0"/>
    <n v="0"/>
    <n v="0"/>
    <n v="0"/>
    <n v="0"/>
    <n v="0"/>
    <n v="0"/>
    <m/>
    <n v="71.2"/>
  </r>
  <r>
    <s v="USR-100515"/>
    <d v="2025-03-10T00:00:00"/>
    <x v="0"/>
    <x v="0"/>
    <x v="1"/>
    <x v="2"/>
    <x v="1"/>
    <n v="1"/>
    <n v="1"/>
    <n v="1"/>
    <n v="0"/>
    <n v="0"/>
    <n v="0"/>
    <n v="1"/>
    <n v="1"/>
    <n v="0"/>
    <m/>
    <n v="38.299999999999997"/>
  </r>
  <r>
    <s v="USR-100516"/>
    <d v="2025-04-01T00:00:00"/>
    <x v="0"/>
    <x v="0"/>
    <x v="1"/>
    <x v="1"/>
    <x v="1"/>
    <n v="1"/>
    <n v="1"/>
    <n v="0"/>
    <n v="0"/>
    <n v="0"/>
    <n v="0"/>
    <n v="0"/>
    <n v="0"/>
    <n v="0"/>
    <m/>
    <n v="63.1"/>
  </r>
  <r>
    <s v="USR-100517"/>
    <d v="2025-05-15T00:00:00"/>
    <x v="0"/>
    <x v="2"/>
    <x v="1"/>
    <x v="3"/>
    <x v="0"/>
    <n v="1"/>
    <n v="0"/>
    <n v="0"/>
    <n v="0"/>
    <n v="0"/>
    <n v="0"/>
    <n v="0"/>
    <n v="0"/>
    <n v="0"/>
    <m/>
    <n v="59.7"/>
  </r>
  <r>
    <s v="USR-100518"/>
    <d v="2025-05-04T00:00:00"/>
    <x v="0"/>
    <x v="3"/>
    <x v="0"/>
    <x v="4"/>
    <x v="2"/>
    <n v="1"/>
    <n v="1"/>
    <n v="1"/>
    <n v="0"/>
    <n v="0"/>
    <n v="0"/>
    <n v="0"/>
    <n v="0"/>
    <n v="0"/>
    <m/>
    <n v="59.5"/>
  </r>
  <r>
    <s v="USR-100519"/>
    <d v="2025-05-20T00:00:00"/>
    <x v="0"/>
    <x v="2"/>
    <x v="1"/>
    <x v="2"/>
    <x v="1"/>
    <n v="0"/>
    <n v="0"/>
    <n v="0"/>
    <n v="0"/>
    <n v="0"/>
    <n v="0"/>
    <n v="0"/>
    <n v="0"/>
    <n v="0"/>
    <m/>
    <n v="78.8"/>
  </r>
  <r>
    <s v="USR-100520"/>
    <d v="2025-05-16T00:00:00"/>
    <x v="0"/>
    <x v="1"/>
    <x v="0"/>
    <x v="3"/>
    <x v="1"/>
    <n v="0"/>
    <n v="0"/>
    <n v="0"/>
    <n v="0"/>
    <n v="0"/>
    <n v="0"/>
    <n v="0"/>
    <n v="0"/>
    <n v="0"/>
    <m/>
    <n v="54"/>
  </r>
  <r>
    <s v="USR-100521"/>
    <d v="2025-03-17T00:00:00"/>
    <x v="0"/>
    <x v="1"/>
    <x v="1"/>
    <x v="1"/>
    <x v="1"/>
    <n v="1"/>
    <n v="0"/>
    <n v="0"/>
    <n v="0"/>
    <n v="0"/>
    <n v="0"/>
    <n v="0"/>
    <n v="0"/>
    <n v="0"/>
    <m/>
    <n v="66.3"/>
  </r>
  <r>
    <s v="USR-100522"/>
    <d v="2025-01-27T00:00:00"/>
    <x v="0"/>
    <x v="2"/>
    <x v="2"/>
    <x v="2"/>
    <x v="1"/>
    <n v="1"/>
    <n v="1"/>
    <n v="0"/>
    <n v="0"/>
    <n v="0"/>
    <n v="0"/>
    <n v="0"/>
    <n v="0"/>
    <n v="0"/>
    <m/>
    <n v="54.7"/>
  </r>
  <r>
    <s v="USR-100523"/>
    <d v="2025-04-13T00:00:00"/>
    <x v="0"/>
    <x v="3"/>
    <x v="1"/>
    <x v="1"/>
    <x v="0"/>
    <n v="1"/>
    <n v="0"/>
    <n v="0"/>
    <n v="0"/>
    <n v="0"/>
    <n v="0"/>
    <n v="0"/>
    <n v="0"/>
    <n v="0"/>
    <m/>
    <n v="76.7"/>
  </r>
  <r>
    <s v="USR-100524"/>
    <d v="2025-05-03T00:00:00"/>
    <x v="0"/>
    <x v="3"/>
    <x v="0"/>
    <x v="0"/>
    <x v="0"/>
    <n v="1"/>
    <n v="0"/>
    <n v="0"/>
    <n v="0"/>
    <n v="0"/>
    <n v="0"/>
    <n v="2"/>
    <n v="1"/>
    <n v="0"/>
    <m/>
    <n v="47.4"/>
  </r>
  <r>
    <s v="USR-100525"/>
    <d v="2025-03-30T00:00:00"/>
    <x v="0"/>
    <x v="0"/>
    <x v="1"/>
    <x v="1"/>
    <x v="1"/>
    <n v="1"/>
    <n v="1"/>
    <n v="1"/>
    <n v="0"/>
    <n v="0"/>
    <n v="0"/>
    <n v="0"/>
    <n v="0"/>
    <n v="0"/>
    <m/>
    <n v="81.7"/>
  </r>
  <r>
    <s v="USR-100526"/>
    <d v="2025-01-01T00:00:00"/>
    <x v="0"/>
    <x v="1"/>
    <x v="1"/>
    <x v="2"/>
    <x v="0"/>
    <n v="1"/>
    <n v="1"/>
    <n v="1"/>
    <n v="0"/>
    <n v="0"/>
    <n v="0"/>
    <n v="0"/>
    <n v="0"/>
    <n v="0"/>
    <m/>
    <n v="67.5"/>
  </r>
  <r>
    <s v="USR-100527"/>
    <d v="2025-02-06T00:00:00"/>
    <x v="0"/>
    <x v="1"/>
    <x v="1"/>
    <x v="2"/>
    <x v="0"/>
    <n v="1"/>
    <n v="0"/>
    <n v="0"/>
    <n v="0"/>
    <n v="0"/>
    <n v="0"/>
    <n v="0"/>
    <n v="0"/>
    <n v="0"/>
    <m/>
    <n v="36.799999999999997"/>
  </r>
  <r>
    <s v="USR-100528"/>
    <d v="2025-02-25T00:00:00"/>
    <x v="0"/>
    <x v="0"/>
    <x v="0"/>
    <x v="1"/>
    <x v="1"/>
    <n v="0"/>
    <n v="0"/>
    <n v="0"/>
    <n v="0"/>
    <n v="0"/>
    <n v="0"/>
    <n v="0"/>
    <n v="0"/>
    <n v="0"/>
    <m/>
    <n v="66.5"/>
  </r>
  <r>
    <s v="USR-100529"/>
    <d v="2025-05-14T00:00:00"/>
    <x v="0"/>
    <x v="2"/>
    <x v="2"/>
    <x v="4"/>
    <x v="1"/>
    <n v="1"/>
    <n v="0"/>
    <n v="0"/>
    <n v="0"/>
    <n v="0"/>
    <n v="0"/>
    <n v="0"/>
    <n v="0"/>
    <n v="0"/>
    <m/>
    <n v="35.4"/>
  </r>
  <r>
    <s v="USR-100530"/>
    <d v="2025-05-20T00:00:00"/>
    <x v="0"/>
    <x v="3"/>
    <x v="1"/>
    <x v="1"/>
    <x v="0"/>
    <n v="0"/>
    <n v="0"/>
    <n v="0"/>
    <n v="0"/>
    <n v="0"/>
    <n v="0"/>
    <n v="0"/>
    <n v="0"/>
    <n v="0"/>
    <m/>
    <n v="64.3"/>
  </r>
  <r>
    <s v="USR-100531"/>
    <d v="2025-02-11T00:00:00"/>
    <x v="0"/>
    <x v="3"/>
    <x v="1"/>
    <x v="1"/>
    <x v="1"/>
    <n v="0"/>
    <n v="0"/>
    <n v="0"/>
    <n v="0"/>
    <n v="0"/>
    <n v="0"/>
    <n v="0"/>
    <n v="0"/>
    <n v="0"/>
    <m/>
    <n v="49.1"/>
  </r>
  <r>
    <s v="USR-100532"/>
    <d v="2025-02-13T00:00:00"/>
    <x v="0"/>
    <x v="1"/>
    <x v="1"/>
    <x v="1"/>
    <x v="1"/>
    <n v="1"/>
    <n v="0"/>
    <n v="0"/>
    <n v="0"/>
    <n v="0"/>
    <n v="0"/>
    <n v="0"/>
    <n v="0"/>
    <n v="0"/>
    <m/>
    <n v="84.3"/>
  </r>
  <r>
    <s v="USR-100533"/>
    <d v="2025-04-07T00:00:00"/>
    <x v="0"/>
    <x v="3"/>
    <x v="1"/>
    <x v="2"/>
    <x v="2"/>
    <n v="1"/>
    <n v="0"/>
    <n v="0"/>
    <n v="0"/>
    <n v="0"/>
    <n v="0"/>
    <n v="0"/>
    <n v="0"/>
    <n v="0"/>
    <m/>
    <n v="65.599999999999994"/>
  </r>
  <r>
    <s v="USR-100534"/>
    <d v="2025-03-08T00:00:00"/>
    <x v="0"/>
    <x v="2"/>
    <x v="1"/>
    <x v="0"/>
    <x v="1"/>
    <n v="1"/>
    <n v="0"/>
    <n v="0"/>
    <n v="0"/>
    <n v="0"/>
    <n v="0"/>
    <n v="0"/>
    <n v="0"/>
    <n v="0"/>
    <m/>
    <n v="47.1"/>
  </r>
  <r>
    <s v="USR-100535"/>
    <d v="2025-02-16T00:00:00"/>
    <x v="0"/>
    <x v="0"/>
    <x v="0"/>
    <x v="2"/>
    <x v="1"/>
    <n v="1"/>
    <n v="1"/>
    <n v="1"/>
    <n v="0"/>
    <n v="0"/>
    <n v="0"/>
    <n v="0"/>
    <n v="0"/>
    <n v="0"/>
    <m/>
    <n v="70"/>
  </r>
  <r>
    <s v="USR-100536"/>
    <d v="2025-04-28T00:00:00"/>
    <x v="0"/>
    <x v="3"/>
    <x v="1"/>
    <x v="2"/>
    <x v="2"/>
    <n v="1"/>
    <n v="0"/>
    <n v="0"/>
    <n v="0"/>
    <n v="0"/>
    <n v="0"/>
    <n v="0"/>
    <n v="0"/>
    <n v="0"/>
    <m/>
    <n v="54.6"/>
  </r>
  <r>
    <s v="USR-100537"/>
    <d v="2025-03-10T00:00:00"/>
    <x v="0"/>
    <x v="1"/>
    <x v="2"/>
    <x v="4"/>
    <x v="0"/>
    <n v="1"/>
    <n v="1"/>
    <n v="0"/>
    <n v="0"/>
    <n v="0"/>
    <n v="0"/>
    <n v="1"/>
    <n v="1"/>
    <n v="0"/>
    <m/>
    <n v="65.2"/>
  </r>
  <r>
    <s v="USR-100538"/>
    <d v="2025-01-25T00:00:00"/>
    <x v="0"/>
    <x v="2"/>
    <x v="1"/>
    <x v="4"/>
    <x v="1"/>
    <n v="1"/>
    <n v="0"/>
    <n v="0"/>
    <n v="0"/>
    <n v="0"/>
    <n v="0"/>
    <n v="0"/>
    <n v="0"/>
    <n v="0"/>
    <m/>
    <n v="65"/>
  </r>
  <r>
    <s v="USR-100539"/>
    <d v="2025-01-11T00:00:00"/>
    <x v="0"/>
    <x v="1"/>
    <x v="1"/>
    <x v="2"/>
    <x v="2"/>
    <n v="1"/>
    <n v="1"/>
    <n v="1"/>
    <n v="0"/>
    <n v="0"/>
    <n v="0"/>
    <n v="1"/>
    <n v="1"/>
    <n v="0"/>
    <m/>
    <n v="42.1"/>
  </r>
  <r>
    <s v="USR-100540"/>
    <d v="2025-03-31T00:00:00"/>
    <x v="0"/>
    <x v="1"/>
    <x v="2"/>
    <x v="2"/>
    <x v="1"/>
    <n v="1"/>
    <n v="0"/>
    <n v="0"/>
    <n v="0"/>
    <n v="0"/>
    <n v="0"/>
    <n v="0"/>
    <n v="0"/>
    <n v="0"/>
    <m/>
    <n v="43.4"/>
  </r>
  <r>
    <s v="USR-100541"/>
    <d v="2025-05-22T00:00:00"/>
    <x v="0"/>
    <x v="0"/>
    <x v="1"/>
    <x v="2"/>
    <x v="0"/>
    <n v="1"/>
    <n v="1"/>
    <n v="0"/>
    <n v="0"/>
    <n v="0"/>
    <n v="0"/>
    <n v="0"/>
    <n v="0"/>
    <n v="0"/>
    <m/>
    <n v="39.9"/>
  </r>
  <r>
    <s v="USR-100542"/>
    <d v="2025-05-16T00:00:00"/>
    <x v="0"/>
    <x v="0"/>
    <x v="1"/>
    <x v="3"/>
    <x v="0"/>
    <n v="0"/>
    <n v="0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x v="1"/>
    <n v="1"/>
    <n v="0"/>
    <n v="0"/>
    <n v="0"/>
    <n v="0"/>
    <n v="0"/>
    <n v="0"/>
    <n v="0"/>
    <n v="0"/>
    <m/>
    <n v="61.4"/>
  </r>
  <r>
    <s v="USR-100544"/>
    <d v="2025-04-17T00:00:00"/>
    <x v="0"/>
    <x v="2"/>
    <x v="1"/>
    <x v="4"/>
    <x v="2"/>
    <n v="1"/>
    <n v="1"/>
    <n v="1"/>
    <n v="0"/>
    <n v="0"/>
    <n v="0"/>
    <n v="0"/>
    <n v="0"/>
    <n v="0"/>
    <m/>
    <n v="76.8"/>
  </r>
  <r>
    <s v="USR-100545"/>
    <d v="2025-01-01T00:00:00"/>
    <x v="0"/>
    <x v="3"/>
    <x v="0"/>
    <x v="4"/>
    <x v="0"/>
    <n v="0"/>
    <n v="0"/>
    <n v="0"/>
    <n v="0"/>
    <n v="0"/>
    <n v="0"/>
    <n v="0"/>
    <n v="0"/>
    <n v="0"/>
    <m/>
    <m/>
  </r>
  <r>
    <s v="USR-100546"/>
    <d v="2025-03-18T00:00:00"/>
    <x v="0"/>
    <x v="2"/>
    <x v="1"/>
    <x v="2"/>
    <x v="0"/>
    <n v="1"/>
    <n v="1"/>
    <n v="1"/>
    <n v="0"/>
    <n v="0"/>
    <n v="0"/>
    <n v="0"/>
    <n v="0"/>
    <n v="0"/>
    <m/>
    <n v="45.3"/>
  </r>
  <r>
    <s v="USR-100547"/>
    <d v="2025-05-20T00:00:00"/>
    <x v="0"/>
    <x v="0"/>
    <x v="2"/>
    <x v="2"/>
    <x v="1"/>
    <n v="1"/>
    <n v="0"/>
    <n v="0"/>
    <n v="0"/>
    <n v="0"/>
    <n v="0"/>
    <n v="0"/>
    <n v="0"/>
    <n v="0"/>
    <m/>
    <n v="41.4"/>
  </r>
  <r>
    <s v="USR-100548"/>
    <d v="2025-03-16T00:00:00"/>
    <x v="0"/>
    <x v="0"/>
    <x v="1"/>
    <x v="1"/>
    <x v="0"/>
    <n v="1"/>
    <n v="0"/>
    <n v="0"/>
    <n v="0"/>
    <n v="0"/>
    <n v="0"/>
    <n v="0"/>
    <n v="0"/>
    <n v="0"/>
    <m/>
    <n v="37.1"/>
  </r>
  <r>
    <s v="USR-100549"/>
    <d v="2025-05-30T00:00:00"/>
    <x v="0"/>
    <x v="2"/>
    <x v="0"/>
    <x v="4"/>
    <x v="1"/>
    <n v="1"/>
    <n v="0"/>
    <n v="0"/>
    <n v="0"/>
    <n v="0"/>
    <n v="0"/>
    <n v="0"/>
    <n v="0"/>
    <n v="0"/>
    <m/>
    <n v="40.700000000000003"/>
  </r>
  <r>
    <s v="USR-100550"/>
    <d v="2025-02-20T00:00:00"/>
    <x v="0"/>
    <x v="0"/>
    <x v="1"/>
    <x v="4"/>
    <x v="2"/>
    <n v="0"/>
    <n v="0"/>
    <n v="0"/>
    <n v="0"/>
    <n v="0"/>
    <n v="0"/>
    <n v="2"/>
    <n v="1"/>
    <n v="0"/>
    <m/>
    <n v="55.9"/>
  </r>
  <r>
    <s v="USR-100551"/>
    <d v="2025-02-11T00:00:00"/>
    <x v="0"/>
    <x v="2"/>
    <x v="3"/>
    <x v="4"/>
    <x v="1"/>
    <n v="1"/>
    <n v="1"/>
    <n v="0"/>
    <n v="0"/>
    <n v="0"/>
    <n v="0"/>
    <n v="0"/>
    <n v="0"/>
    <n v="0"/>
    <m/>
    <n v="55.8"/>
  </r>
  <r>
    <s v="USR-100552"/>
    <d v="2025-01-02T00:00:00"/>
    <x v="0"/>
    <x v="3"/>
    <x v="2"/>
    <x v="3"/>
    <x v="0"/>
    <n v="1"/>
    <n v="0"/>
    <n v="0"/>
    <n v="0"/>
    <n v="0"/>
    <n v="0"/>
    <n v="0"/>
    <n v="0"/>
    <n v="0"/>
    <m/>
    <n v="64.3"/>
  </r>
  <r>
    <s v="USR-100553"/>
    <d v="2025-05-03T00:00:00"/>
    <x v="0"/>
    <x v="0"/>
    <x v="1"/>
    <x v="1"/>
    <x v="1"/>
    <n v="0"/>
    <n v="0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x v="1"/>
    <n v="1"/>
    <n v="0"/>
    <n v="0"/>
    <n v="0"/>
    <n v="0"/>
    <n v="0"/>
    <n v="0"/>
    <n v="0"/>
    <n v="0"/>
    <m/>
    <n v="89.8"/>
  </r>
  <r>
    <s v="USR-100555"/>
    <d v="2025-02-11T00:00:00"/>
    <x v="0"/>
    <x v="3"/>
    <x v="3"/>
    <x v="1"/>
    <x v="1"/>
    <n v="1"/>
    <n v="1"/>
    <n v="1"/>
    <n v="0"/>
    <n v="0"/>
    <n v="0"/>
    <n v="0"/>
    <n v="0"/>
    <n v="0"/>
    <m/>
    <n v="58.3"/>
  </r>
  <r>
    <s v="USR-100556"/>
    <d v="2025-05-06T00:00:00"/>
    <x v="0"/>
    <x v="3"/>
    <x v="1"/>
    <x v="4"/>
    <x v="0"/>
    <n v="1"/>
    <n v="0"/>
    <n v="0"/>
    <n v="0"/>
    <n v="0"/>
    <n v="0"/>
    <n v="0"/>
    <n v="0"/>
    <n v="0"/>
    <m/>
    <n v="64.400000000000006"/>
  </r>
  <r>
    <s v="USR-100557"/>
    <d v="2025-05-23T00:00:00"/>
    <x v="0"/>
    <x v="0"/>
    <x v="1"/>
    <x v="2"/>
    <x v="2"/>
    <n v="0"/>
    <n v="0"/>
    <n v="0"/>
    <n v="0"/>
    <n v="0"/>
    <n v="0"/>
    <n v="0"/>
    <n v="0"/>
    <n v="0"/>
    <m/>
    <n v="46.2"/>
  </r>
  <r>
    <s v="USR-100558"/>
    <d v="2025-01-09T00:00:00"/>
    <x v="0"/>
    <x v="0"/>
    <x v="0"/>
    <x v="2"/>
    <x v="1"/>
    <n v="0"/>
    <n v="0"/>
    <n v="0"/>
    <n v="0"/>
    <n v="0"/>
    <n v="0"/>
    <n v="0"/>
    <n v="0"/>
    <n v="0"/>
    <m/>
    <n v="78"/>
  </r>
  <r>
    <s v="USR-100559"/>
    <d v="2025-04-01T00:00:00"/>
    <x v="0"/>
    <x v="0"/>
    <x v="0"/>
    <x v="1"/>
    <x v="2"/>
    <n v="1"/>
    <n v="0"/>
    <n v="0"/>
    <n v="0"/>
    <n v="0"/>
    <n v="0"/>
    <n v="0"/>
    <n v="0"/>
    <n v="0"/>
    <m/>
    <n v="62.3"/>
  </r>
  <r>
    <s v="USR-100560"/>
    <d v="2025-03-08T00:00:00"/>
    <x v="0"/>
    <x v="0"/>
    <x v="1"/>
    <x v="1"/>
    <x v="1"/>
    <n v="1"/>
    <n v="0"/>
    <n v="0"/>
    <n v="0"/>
    <n v="0"/>
    <n v="0"/>
    <n v="0"/>
    <n v="0"/>
    <n v="0"/>
    <m/>
    <n v="78.8"/>
  </r>
  <r>
    <s v="USR-100561"/>
    <d v="2025-02-20T00:00:00"/>
    <x v="0"/>
    <x v="0"/>
    <x v="1"/>
    <x v="4"/>
    <x v="0"/>
    <n v="1"/>
    <n v="0"/>
    <n v="0"/>
    <n v="0"/>
    <n v="0"/>
    <n v="0"/>
    <n v="0"/>
    <n v="0"/>
    <n v="0"/>
    <m/>
    <n v="25"/>
  </r>
  <r>
    <s v="USR-100562"/>
    <d v="2025-03-30T00:00:00"/>
    <x v="0"/>
    <x v="2"/>
    <x v="1"/>
    <x v="4"/>
    <x v="0"/>
    <n v="0"/>
    <n v="0"/>
    <n v="0"/>
    <n v="0"/>
    <n v="0"/>
    <n v="0"/>
    <n v="0"/>
    <n v="0"/>
    <n v="0"/>
    <m/>
    <n v="53.4"/>
  </r>
  <r>
    <s v="USR-100563"/>
    <d v="2025-04-10T00:00:00"/>
    <x v="0"/>
    <x v="2"/>
    <x v="0"/>
    <x v="1"/>
    <x v="0"/>
    <n v="0"/>
    <n v="0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x v="2"/>
    <n v="1"/>
    <n v="1"/>
    <n v="0"/>
    <n v="0"/>
    <n v="0"/>
    <n v="0"/>
    <n v="0"/>
    <n v="0"/>
    <n v="0"/>
    <m/>
    <n v="36.700000000000003"/>
  </r>
  <r>
    <s v="USR-100565"/>
    <d v="2025-05-21T00:00:00"/>
    <x v="0"/>
    <x v="1"/>
    <x v="1"/>
    <x v="1"/>
    <x v="0"/>
    <n v="1"/>
    <n v="0"/>
    <n v="0"/>
    <n v="0"/>
    <n v="0"/>
    <n v="0"/>
    <n v="1"/>
    <n v="1"/>
    <n v="0"/>
    <m/>
    <n v="67.5"/>
  </r>
  <r>
    <s v="USR-100566"/>
    <d v="2025-03-29T00:00:00"/>
    <x v="0"/>
    <x v="2"/>
    <x v="1"/>
    <x v="4"/>
    <x v="2"/>
    <n v="1"/>
    <n v="1"/>
    <n v="1"/>
    <n v="0"/>
    <n v="0"/>
    <n v="0"/>
    <n v="0"/>
    <n v="0"/>
    <n v="0"/>
    <m/>
    <n v="69.900000000000006"/>
  </r>
  <r>
    <s v="USR-100567"/>
    <d v="2025-02-23T00:00:00"/>
    <x v="0"/>
    <x v="0"/>
    <x v="2"/>
    <x v="3"/>
    <x v="0"/>
    <n v="1"/>
    <n v="0"/>
    <n v="0"/>
    <n v="0"/>
    <n v="0"/>
    <n v="0"/>
    <n v="0"/>
    <n v="0"/>
    <n v="0"/>
    <m/>
    <n v="65.099999999999994"/>
  </r>
  <r>
    <s v="USR-100568"/>
    <d v="2025-02-16T00:00:00"/>
    <x v="0"/>
    <x v="1"/>
    <x v="1"/>
    <x v="2"/>
    <x v="2"/>
    <n v="1"/>
    <n v="0"/>
    <n v="0"/>
    <n v="0"/>
    <n v="0"/>
    <n v="0"/>
    <n v="0"/>
    <n v="0"/>
    <n v="0"/>
    <m/>
    <n v="48.7"/>
  </r>
  <r>
    <s v="USR-100569"/>
    <d v="2025-02-21T00:00:00"/>
    <x v="0"/>
    <x v="1"/>
    <x v="0"/>
    <x v="1"/>
    <x v="0"/>
    <n v="1"/>
    <n v="1"/>
    <n v="0"/>
    <n v="0"/>
    <n v="0"/>
    <n v="0"/>
    <n v="0"/>
    <n v="0"/>
    <n v="0"/>
    <m/>
    <n v="47.2"/>
  </r>
  <r>
    <s v="USR-100570"/>
    <d v="2025-01-07T00:00:00"/>
    <x v="0"/>
    <x v="0"/>
    <x v="1"/>
    <x v="3"/>
    <x v="1"/>
    <n v="1"/>
    <n v="0"/>
    <n v="0"/>
    <n v="0"/>
    <n v="0"/>
    <n v="0"/>
    <n v="2"/>
    <n v="1"/>
    <n v="0"/>
    <m/>
    <n v="20.3"/>
  </r>
  <r>
    <s v="USR-100571"/>
    <d v="2025-03-06T00:00:00"/>
    <x v="0"/>
    <x v="1"/>
    <x v="1"/>
    <x v="2"/>
    <x v="1"/>
    <n v="0"/>
    <n v="0"/>
    <n v="0"/>
    <n v="0"/>
    <n v="0"/>
    <n v="0"/>
    <n v="1"/>
    <n v="1"/>
    <n v="0"/>
    <m/>
    <n v="57.8"/>
  </r>
  <r>
    <s v="USR-100572"/>
    <d v="2025-03-30T00:00:00"/>
    <x v="0"/>
    <x v="2"/>
    <x v="1"/>
    <x v="0"/>
    <x v="0"/>
    <n v="1"/>
    <n v="0"/>
    <n v="0"/>
    <n v="0"/>
    <n v="0"/>
    <n v="0"/>
    <n v="0"/>
    <n v="0"/>
    <n v="0"/>
    <m/>
    <n v="78.7"/>
  </r>
  <r>
    <s v="USR-100573"/>
    <d v="2025-05-31T00:00:00"/>
    <x v="0"/>
    <x v="3"/>
    <x v="0"/>
    <x v="1"/>
    <x v="1"/>
    <n v="1"/>
    <n v="0"/>
    <n v="0"/>
    <n v="0"/>
    <n v="0"/>
    <n v="0"/>
    <n v="0"/>
    <n v="0"/>
    <n v="0"/>
    <m/>
    <n v="63.6"/>
  </r>
  <r>
    <s v="USR-100574"/>
    <d v="2025-02-20T00:00:00"/>
    <x v="0"/>
    <x v="3"/>
    <x v="1"/>
    <x v="0"/>
    <x v="1"/>
    <n v="0"/>
    <n v="0"/>
    <n v="0"/>
    <n v="0"/>
    <n v="0"/>
    <n v="0"/>
    <n v="2"/>
    <n v="1"/>
    <n v="0"/>
    <m/>
    <n v="45.1"/>
  </r>
  <r>
    <s v="USR-100575"/>
    <d v="2025-01-13T00:00:00"/>
    <x v="0"/>
    <x v="1"/>
    <x v="1"/>
    <x v="4"/>
    <x v="1"/>
    <n v="0"/>
    <n v="0"/>
    <n v="0"/>
    <n v="0"/>
    <n v="0"/>
    <n v="0"/>
    <n v="0"/>
    <n v="0"/>
    <n v="0"/>
    <m/>
    <n v="77.5"/>
  </r>
  <r>
    <s v="USR-100576"/>
    <d v="2025-05-13T00:00:00"/>
    <x v="0"/>
    <x v="2"/>
    <x v="0"/>
    <x v="2"/>
    <x v="0"/>
    <n v="1"/>
    <n v="1"/>
    <n v="0"/>
    <n v="0"/>
    <n v="0"/>
    <n v="0"/>
    <n v="0"/>
    <n v="0"/>
    <n v="0"/>
    <m/>
    <n v="58"/>
  </r>
  <r>
    <s v="USR-100577"/>
    <d v="2025-04-21T00:00:00"/>
    <x v="0"/>
    <x v="3"/>
    <x v="2"/>
    <x v="1"/>
    <x v="1"/>
    <n v="1"/>
    <n v="0"/>
    <n v="0"/>
    <n v="0"/>
    <n v="0"/>
    <n v="0"/>
    <n v="0"/>
    <n v="0"/>
    <n v="0"/>
    <m/>
    <n v="68.099999999999994"/>
  </r>
  <r>
    <s v="USR-100578"/>
    <d v="2025-03-01T00:00:00"/>
    <x v="0"/>
    <x v="2"/>
    <x v="2"/>
    <x v="1"/>
    <x v="2"/>
    <n v="1"/>
    <n v="0"/>
    <n v="0"/>
    <n v="0"/>
    <n v="0"/>
    <n v="0"/>
    <n v="0"/>
    <n v="0"/>
    <n v="0"/>
    <m/>
    <n v="35.4"/>
  </r>
  <r>
    <s v="USR-100579"/>
    <d v="2025-03-10T00:00:00"/>
    <x v="0"/>
    <x v="1"/>
    <x v="2"/>
    <x v="1"/>
    <x v="1"/>
    <n v="0"/>
    <n v="0"/>
    <n v="0"/>
    <n v="0"/>
    <n v="0"/>
    <n v="0"/>
    <n v="0"/>
    <n v="0"/>
    <n v="0"/>
    <m/>
    <n v="47"/>
  </r>
  <r>
    <s v="USR-100580"/>
    <d v="2025-03-08T00:00:00"/>
    <x v="0"/>
    <x v="2"/>
    <x v="0"/>
    <x v="2"/>
    <x v="1"/>
    <n v="0"/>
    <n v="0"/>
    <n v="0"/>
    <n v="0"/>
    <n v="0"/>
    <n v="0"/>
    <n v="0"/>
    <n v="0"/>
    <n v="0"/>
    <m/>
    <n v="75"/>
  </r>
  <r>
    <s v="USR-100581"/>
    <d v="2025-05-26T00:00:00"/>
    <x v="0"/>
    <x v="3"/>
    <x v="0"/>
    <x v="2"/>
    <x v="1"/>
    <n v="1"/>
    <n v="1"/>
    <n v="1"/>
    <n v="0"/>
    <n v="0"/>
    <n v="0"/>
    <n v="3"/>
    <n v="1"/>
    <n v="0"/>
    <m/>
    <n v="50.2"/>
  </r>
  <r>
    <s v="USR-100582"/>
    <d v="2025-05-20T00:00:00"/>
    <x v="0"/>
    <x v="2"/>
    <x v="0"/>
    <x v="2"/>
    <x v="1"/>
    <n v="1"/>
    <n v="0"/>
    <n v="0"/>
    <n v="0"/>
    <n v="0"/>
    <n v="0"/>
    <n v="0"/>
    <n v="0"/>
    <n v="0"/>
    <m/>
    <n v="40.1"/>
  </r>
  <r>
    <s v="USR-100583"/>
    <d v="2025-03-22T00:00:00"/>
    <x v="0"/>
    <x v="1"/>
    <x v="0"/>
    <x v="2"/>
    <x v="1"/>
    <n v="0"/>
    <n v="0"/>
    <n v="0"/>
    <n v="0"/>
    <n v="0"/>
    <n v="0"/>
    <n v="0"/>
    <n v="0"/>
    <n v="0"/>
    <m/>
    <n v="61.1"/>
  </r>
  <r>
    <s v="USR-100584"/>
    <d v="2025-02-15T00:00:00"/>
    <x v="0"/>
    <x v="3"/>
    <x v="0"/>
    <x v="2"/>
    <x v="1"/>
    <n v="0"/>
    <n v="0"/>
    <n v="0"/>
    <n v="0"/>
    <n v="0"/>
    <n v="0"/>
    <n v="0"/>
    <n v="0"/>
    <n v="0"/>
    <m/>
    <n v="42.4"/>
  </r>
  <r>
    <s v="USR-100585"/>
    <d v="2025-01-08T00:00:00"/>
    <x v="0"/>
    <x v="0"/>
    <x v="1"/>
    <x v="4"/>
    <x v="1"/>
    <n v="0"/>
    <n v="0"/>
    <n v="0"/>
    <n v="0"/>
    <n v="0"/>
    <n v="0"/>
    <n v="1"/>
    <n v="1"/>
    <n v="0"/>
    <m/>
    <n v="46.6"/>
  </r>
  <r>
    <s v="USR-100586"/>
    <d v="2025-01-29T00:00:00"/>
    <x v="0"/>
    <x v="3"/>
    <x v="1"/>
    <x v="1"/>
    <x v="2"/>
    <n v="1"/>
    <n v="1"/>
    <n v="0"/>
    <n v="0"/>
    <n v="0"/>
    <n v="0"/>
    <n v="0"/>
    <n v="0"/>
    <n v="0"/>
    <m/>
    <n v="72.099999999999994"/>
  </r>
  <r>
    <s v="USR-100587"/>
    <d v="2025-05-07T00:00:00"/>
    <x v="0"/>
    <x v="2"/>
    <x v="2"/>
    <x v="1"/>
    <x v="1"/>
    <n v="0"/>
    <n v="0"/>
    <n v="0"/>
    <n v="0"/>
    <n v="0"/>
    <n v="0"/>
    <n v="0"/>
    <n v="0"/>
    <n v="0"/>
    <m/>
    <n v="21.5"/>
  </r>
  <r>
    <s v="USR-100588"/>
    <d v="2025-03-01T00:00:00"/>
    <x v="0"/>
    <x v="0"/>
    <x v="1"/>
    <x v="4"/>
    <x v="0"/>
    <n v="1"/>
    <n v="0"/>
    <n v="0"/>
    <n v="0"/>
    <n v="0"/>
    <n v="0"/>
    <n v="1"/>
    <n v="1"/>
    <n v="0"/>
    <m/>
    <n v="65.400000000000006"/>
  </r>
  <r>
    <s v="USR-100589"/>
    <d v="2025-04-20T00:00:00"/>
    <x v="0"/>
    <x v="2"/>
    <x v="1"/>
    <x v="1"/>
    <x v="1"/>
    <n v="1"/>
    <n v="1"/>
    <n v="0"/>
    <n v="0"/>
    <n v="0"/>
    <n v="0"/>
    <n v="0"/>
    <n v="0"/>
    <n v="0"/>
    <m/>
    <n v="53.3"/>
  </r>
  <r>
    <s v="USR-100590"/>
    <d v="2025-01-16T00:00:00"/>
    <x v="0"/>
    <x v="2"/>
    <x v="1"/>
    <x v="1"/>
    <x v="2"/>
    <n v="0"/>
    <n v="0"/>
    <n v="0"/>
    <n v="0"/>
    <n v="0"/>
    <n v="0"/>
    <n v="2"/>
    <n v="1"/>
    <n v="0"/>
    <m/>
    <n v="52.3"/>
  </r>
  <r>
    <s v="USR-100591"/>
    <d v="2025-04-04T00:00:00"/>
    <x v="0"/>
    <x v="2"/>
    <x v="1"/>
    <x v="2"/>
    <x v="1"/>
    <n v="1"/>
    <n v="0"/>
    <n v="0"/>
    <n v="0"/>
    <n v="0"/>
    <n v="0"/>
    <n v="0"/>
    <n v="0"/>
    <n v="0"/>
    <m/>
    <n v="62.5"/>
  </r>
  <r>
    <s v="USR-100592"/>
    <d v="2025-01-29T00:00:00"/>
    <x v="0"/>
    <x v="0"/>
    <x v="2"/>
    <x v="4"/>
    <x v="1"/>
    <n v="1"/>
    <n v="0"/>
    <n v="0"/>
    <n v="0"/>
    <n v="0"/>
    <n v="0"/>
    <n v="0"/>
    <n v="0"/>
    <n v="0"/>
    <m/>
    <n v="69.8"/>
  </r>
  <r>
    <s v="USR-100593"/>
    <d v="2025-04-19T00:00:00"/>
    <x v="0"/>
    <x v="2"/>
    <x v="1"/>
    <x v="0"/>
    <x v="1"/>
    <n v="1"/>
    <n v="0"/>
    <n v="0"/>
    <n v="0"/>
    <n v="0"/>
    <n v="0"/>
    <n v="0"/>
    <n v="0"/>
    <n v="0"/>
    <m/>
    <n v="68.2"/>
  </r>
  <r>
    <s v="USR-100594"/>
    <d v="2025-03-10T00:00:00"/>
    <x v="0"/>
    <x v="3"/>
    <x v="1"/>
    <x v="4"/>
    <x v="0"/>
    <n v="1"/>
    <n v="1"/>
    <n v="1"/>
    <n v="1"/>
    <n v="751.73"/>
    <n v="751.73"/>
    <n v="0"/>
    <n v="0"/>
    <n v="0"/>
    <n v="6"/>
    <n v="35.200000000000003"/>
  </r>
  <r>
    <s v="USR-100595"/>
    <d v="2025-05-10T00:00:00"/>
    <x v="0"/>
    <x v="3"/>
    <x v="1"/>
    <x v="4"/>
    <x v="0"/>
    <n v="0"/>
    <n v="0"/>
    <n v="0"/>
    <n v="0"/>
    <n v="0"/>
    <n v="0"/>
    <n v="0"/>
    <n v="0"/>
    <n v="0"/>
    <m/>
    <n v="59.3"/>
  </r>
  <r>
    <s v="USR-100596"/>
    <d v="2025-02-02T00:00:00"/>
    <x v="0"/>
    <x v="0"/>
    <x v="1"/>
    <x v="4"/>
    <x v="1"/>
    <n v="0"/>
    <n v="0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x v="1"/>
    <n v="1"/>
    <n v="1"/>
    <n v="0"/>
    <n v="0"/>
    <n v="0"/>
    <n v="0"/>
    <n v="0"/>
    <n v="0"/>
    <n v="0"/>
    <m/>
    <n v="74.8"/>
  </r>
  <r>
    <s v="USR-100598"/>
    <d v="2025-01-19T00:00:00"/>
    <x v="0"/>
    <x v="1"/>
    <x v="0"/>
    <x v="1"/>
    <x v="1"/>
    <n v="1"/>
    <n v="1"/>
    <n v="1"/>
    <n v="0"/>
    <n v="0"/>
    <n v="0"/>
    <n v="0"/>
    <n v="0"/>
    <n v="0"/>
    <m/>
    <n v="61.7"/>
  </r>
  <r>
    <s v="USR-100599"/>
    <d v="2025-01-02T00:00:00"/>
    <x v="0"/>
    <x v="0"/>
    <x v="1"/>
    <x v="1"/>
    <x v="1"/>
    <n v="1"/>
    <n v="0"/>
    <n v="0"/>
    <n v="0"/>
    <n v="0"/>
    <n v="0"/>
    <n v="0"/>
    <n v="0"/>
    <n v="0"/>
    <m/>
    <n v="24.3"/>
  </r>
  <r>
    <s v="USR-100600"/>
    <d v="2025-05-03T00:00:00"/>
    <x v="0"/>
    <x v="3"/>
    <x v="0"/>
    <x v="2"/>
    <x v="1"/>
    <n v="0"/>
    <n v="0"/>
    <n v="0"/>
    <n v="0"/>
    <n v="0"/>
    <n v="0"/>
    <n v="1"/>
    <n v="1"/>
    <n v="0"/>
    <m/>
    <n v="61.9"/>
  </r>
  <r>
    <s v="USR-100601"/>
    <d v="2025-05-27T00:00:00"/>
    <x v="0"/>
    <x v="2"/>
    <x v="0"/>
    <x v="3"/>
    <x v="2"/>
    <n v="0"/>
    <n v="0"/>
    <n v="0"/>
    <n v="0"/>
    <n v="0"/>
    <n v="0"/>
    <n v="2"/>
    <n v="1"/>
    <n v="0"/>
    <m/>
    <n v="41.7"/>
  </r>
  <r>
    <s v="USR-100602"/>
    <d v="2025-02-09T00:00:00"/>
    <x v="0"/>
    <x v="3"/>
    <x v="0"/>
    <x v="4"/>
    <x v="1"/>
    <n v="1"/>
    <n v="0"/>
    <n v="0"/>
    <n v="0"/>
    <n v="0"/>
    <n v="0"/>
    <n v="0"/>
    <n v="0"/>
    <n v="0"/>
    <m/>
    <n v="87.6"/>
  </r>
  <r>
    <s v="USR-100603"/>
    <d v="2025-05-18T00:00:00"/>
    <x v="0"/>
    <x v="2"/>
    <x v="1"/>
    <x v="2"/>
    <x v="1"/>
    <n v="1"/>
    <n v="0"/>
    <n v="0"/>
    <n v="0"/>
    <n v="0"/>
    <n v="0"/>
    <n v="0"/>
    <n v="0"/>
    <n v="0"/>
    <m/>
    <n v="30.8"/>
  </r>
  <r>
    <s v="USR-100604"/>
    <d v="2025-05-17T00:00:00"/>
    <x v="0"/>
    <x v="0"/>
    <x v="1"/>
    <x v="0"/>
    <x v="1"/>
    <n v="0"/>
    <n v="0"/>
    <n v="0"/>
    <n v="0"/>
    <n v="0"/>
    <n v="0"/>
    <n v="0"/>
    <n v="0"/>
    <n v="0"/>
    <m/>
    <n v="54"/>
  </r>
  <r>
    <s v="USR-100605"/>
    <d v="2025-01-25T00:00:00"/>
    <x v="0"/>
    <x v="2"/>
    <x v="0"/>
    <x v="3"/>
    <x v="0"/>
    <n v="1"/>
    <n v="0"/>
    <n v="0"/>
    <n v="0"/>
    <n v="0"/>
    <n v="0"/>
    <n v="1"/>
    <n v="1"/>
    <n v="0"/>
    <m/>
    <n v="54.5"/>
  </r>
  <r>
    <s v="USR-100606"/>
    <d v="2025-05-04T00:00:00"/>
    <x v="0"/>
    <x v="1"/>
    <x v="1"/>
    <x v="2"/>
    <x v="2"/>
    <n v="1"/>
    <n v="1"/>
    <n v="0"/>
    <n v="0"/>
    <n v="0"/>
    <n v="0"/>
    <n v="0"/>
    <n v="0"/>
    <n v="0"/>
    <m/>
    <n v="61.3"/>
  </r>
  <r>
    <s v="USR-100607"/>
    <d v="2025-04-14T00:00:00"/>
    <x v="0"/>
    <x v="1"/>
    <x v="1"/>
    <x v="1"/>
    <x v="1"/>
    <n v="1"/>
    <n v="0"/>
    <n v="0"/>
    <n v="0"/>
    <n v="0"/>
    <n v="0"/>
    <n v="0"/>
    <n v="0"/>
    <n v="0"/>
    <m/>
    <n v="62.7"/>
  </r>
  <r>
    <s v="USR-100608"/>
    <d v="2025-04-18T00:00:00"/>
    <x v="0"/>
    <x v="3"/>
    <x v="1"/>
    <x v="2"/>
    <x v="1"/>
    <n v="1"/>
    <n v="1"/>
    <n v="0"/>
    <n v="0"/>
    <n v="0"/>
    <n v="0"/>
    <n v="0"/>
    <n v="0"/>
    <n v="0"/>
    <m/>
    <n v="43.1"/>
  </r>
  <r>
    <s v="USR-100609"/>
    <d v="2025-02-24T00:00:00"/>
    <x v="0"/>
    <x v="3"/>
    <x v="0"/>
    <x v="0"/>
    <x v="0"/>
    <n v="0"/>
    <n v="0"/>
    <n v="0"/>
    <n v="0"/>
    <n v="0"/>
    <n v="0"/>
    <n v="0"/>
    <n v="0"/>
    <n v="0"/>
    <m/>
    <n v="59.9"/>
  </r>
  <r>
    <s v="USR-100610"/>
    <d v="2025-04-19T00:00:00"/>
    <x v="0"/>
    <x v="0"/>
    <x v="2"/>
    <x v="2"/>
    <x v="1"/>
    <n v="1"/>
    <n v="1"/>
    <n v="1"/>
    <n v="0"/>
    <n v="0"/>
    <n v="0"/>
    <n v="0"/>
    <n v="0"/>
    <n v="0"/>
    <m/>
    <n v="55.7"/>
  </r>
  <r>
    <s v="USR-100611"/>
    <d v="2025-03-07T00:00:00"/>
    <x v="0"/>
    <x v="3"/>
    <x v="0"/>
    <x v="1"/>
    <x v="0"/>
    <n v="1"/>
    <n v="0"/>
    <n v="0"/>
    <n v="0"/>
    <n v="0"/>
    <n v="0"/>
    <n v="0"/>
    <n v="0"/>
    <n v="0"/>
    <m/>
    <n v="37.1"/>
  </r>
  <r>
    <s v="USR-100612"/>
    <d v="2025-03-09T00:00:00"/>
    <x v="0"/>
    <x v="2"/>
    <x v="1"/>
    <x v="1"/>
    <x v="0"/>
    <n v="0"/>
    <n v="0"/>
    <n v="0"/>
    <n v="0"/>
    <n v="0"/>
    <n v="0"/>
    <n v="1"/>
    <n v="1"/>
    <n v="0"/>
    <m/>
    <n v="46.7"/>
  </r>
  <r>
    <s v="USR-100613"/>
    <d v="2025-05-01T00:00:00"/>
    <x v="0"/>
    <x v="3"/>
    <x v="0"/>
    <x v="1"/>
    <x v="0"/>
    <n v="1"/>
    <n v="0"/>
    <n v="0"/>
    <n v="0"/>
    <n v="0"/>
    <n v="0"/>
    <n v="0"/>
    <n v="0"/>
    <n v="0"/>
    <m/>
    <n v="54.1"/>
  </r>
  <r>
    <s v="USR-100614"/>
    <d v="2025-02-09T00:00:00"/>
    <x v="0"/>
    <x v="1"/>
    <x v="0"/>
    <x v="1"/>
    <x v="2"/>
    <n v="1"/>
    <n v="1"/>
    <n v="1"/>
    <n v="0"/>
    <n v="0"/>
    <n v="0"/>
    <n v="0"/>
    <n v="0"/>
    <n v="0"/>
    <m/>
    <n v="56.1"/>
  </r>
  <r>
    <s v="USR-100615"/>
    <d v="2025-05-22T00:00:00"/>
    <x v="0"/>
    <x v="1"/>
    <x v="1"/>
    <x v="3"/>
    <x v="2"/>
    <n v="0"/>
    <n v="0"/>
    <n v="0"/>
    <n v="0"/>
    <n v="0"/>
    <n v="0"/>
    <n v="0"/>
    <n v="0"/>
    <n v="0"/>
    <m/>
    <n v="23.6"/>
  </r>
  <r>
    <s v="USR-100616"/>
    <d v="2025-02-11T00:00:00"/>
    <x v="0"/>
    <x v="0"/>
    <x v="1"/>
    <x v="1"/>
    <x v="2"/>
    <n v="0"/>
    <n v="0"/>
    <n v="0"/>
    <n v="0"/>
    <n v="0"/>
    <n v="0"/>
    <n v="0"/>
    <n v="0"/>
    <n v="0"/>
    <m/>
    <n v="54.7"/>
  </r>
  <r>
    <s v="USR-100617"/>
    <d v="2025-04-12T00:00:00"/>
    <x v="0"/>
    <x v="0"/>
    <x v="1"/>
    <x v="3"/>
    <x v="0"/>
    <n v="0"/>
    <n v="0"/>
    <n v="0"/>
    <n v="0"/>
    <n v="0"/>
    <n v="0"/>
    <n v="2"/>
    <n v="1"/>
    <n v="0"/>
    <m/>
    <n v="50.4"/>
  </r>
  <r>
    <s v="USR-100618"/>
    <d v="2025-03-01T00:00:00"/>
    <x v="0"/>
    <x v="1"/>
    <x v="1"/>
    <x v="4"/>
    <x v="1"/>
    <n v="1"/>
    <n v="0"/>
    <n v="0"/>
    <n v="0"/>
    <n v="0"/>
    <n v="0"/>
    <n v="0"/>
    <n v="0"/>
    <n v="0"/>
    <m/>
    <n v="54.5"/>
  </r>
  <r>
    <s v="USR-100619"/>
    <d v="2025-03-17T00:00:00"/>
    <x v="0"/>
    <x v="1"/>
    <x v="0"/>
    <x v="0"/>
    <x v="0"/>
    <n v="0"/>
    <n v="0"/>
    <n v="0"/>
    <n v="0"/>
    <n v="0"/>
    <n v="0"/>
    <n v="0"/>
    <n v="0"/>
    <n v="0"/>
    <m/>
    <n v="58"/>
  </r>
  <r>
    <s v="USR-100620"/>
    <d v="2025-01-11T00:00:00"/>
    <x v="0"/>
    <x v="0"/>
    <x v="1"/>
    <x v="2"/>
    <x v="1"/>
    <n v="0"/>
    <n v="0"/>
    <n v="0"/>
    <n v="0"/>
    <n v="0"/>
    <n v="0"/>
    <n v="0"/>
    <n v="0"/>
    <n v="0"/>
    <m/>
    <n v="42.9"/>
  </r>
  <r>
    <s v="USR-100621"/>
    <d v="2025-02-17T00:00:00"/>
    <x v="0"/>
    <x v="3"/>
    <x v="1"/>
    <x v="4"/>
    <x v="2"/>
    <n v="1"/>
    <n v="0"/>
    <n v="0"/>
    <n v="0"/>
    <n v="0"/>
    <n v="0"/>
    <n v="0"/>
    <n v="0"/>
    <n v="0"/>
    <m/>
    <n v="51.1"/>
  </r>
  <r>
    <s v="USR-100622"/>
    <d v="2025-03-25T00:00:00"/>
    <x v="0"/>
    <x v="2"/>
    <x v="1"/>
    <x v="2"/>
    <x v="0"/>
    <n v="1"/>
    <n v="1"/>
    <n v="0"/>
    <n v="0"/>
    <n v="0"/>
    <n v="0"/>
    <n v="0"/>
    <n v="0"/>
    <n v="0"/>
    <m/>
    <n v="51.8"/>
  </r>
  <r>
    <s v="USR-100623"/>
    <d v="2025-05-01T00:00:00"/>
    <x v="0"/>
    <x v="3"/>
    <x v="1"/>
    <x v="2"/>
    <x v="1"/>
    <n v="0"/>
    <n v="0"/>
    <n v="0"/>
    <n v="0"/>
    <n v="0"/>
    <n v="0"/>
    <n v="0"/>
    <n v="0"/>
    <n v="0"/>
    <m/>
    <n v="67.7"/>
  </r>
  <r>
    <s v="USR-100624"/>
    <d v="2025-04-02T00:00:00"/>
    <x v="0"/>
    <x v="2"/>
    <x v="1"/>
    <x v="1"/>
    <x v="0"/>
    <n v="0"/>
    <n v="0"/>
    <n v="0"/>
    <n v="0"/>
    <n v="0"/>
    <n v="0"/>
    <n v="0"/>
    <n v="0"/>
    <n v="0"/>
    <m/>
    <n v="75.8"/>
  </r>
  <r>
    <s v="USR-100625"/>
    <d v="2025-04-05T00:00:00"/>
    <x v="0"/>
    <x v="2"/>
    <x v="1"/>
    <x v="0"/>
    <x v="1"/>
    <n v="1"/>
    <n v="1"/>
    <n v="0"/>
    <n v="0"/>
    <n v="0"/>
    <n v="0"/>
    <n v="0"/>
    <n v="0"/>
    <n v="0"/>
    <m/>
    <n v="72.8"/>
  </r>
  <r>
    <s v="USR-100626"/>
    <d v="2025-02-24T00:00:00"/>
    <x v="0"/>
    <x v="0"/>
    <x v="0"/>
    <x v="4"/>
    <x v="1"/>
    <n v="1"/>
    <n v="1"/>
    <n v="0"/>
    <n v="0"/>
    <n v="0"/>
    <n v="0"/>
    <n v="0"/>
    <n v="0"/>
    <n v="0"/>
    <m/>
    <n v="54.4"/>
  </r>
  <r>
    <s v="USR-100627"/>
    <d v="2025-01-24T00:00:00"/>
    <x v="0"/>
    <x v="1"/>
    <x v="1"/>
    <x v="2"/>
    <x v="0"/>
    <n v="1"/>
    <n v="0"/>
    <n v="0"/>
    <n v="0"/>
    <n v="0"/>
    <n v="0"/>
    <n v="0"/>
    <n v="0"/>
    <n v="0"/>
    <m/>
    <n v="51.8"/>
  </r>
  <r>
    <s v="USR-100628"/>
    <d v="2025-04-10T00:00:00"/>
    <x v="0"/>
    <x v="3"/>
    <x v="1"/>
    <x v="2"/>
    <x v="1"/>
    <n v="0"/>
    <n v="0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x v="1"/>
    <n v="1"/>
    <n v="1"/>
    <n v="1"/>
    <n v="0"/>
    <n v="0"/>
    <n v="0"/>
    <n v="0"/>
    <n v="0"/>
    <n v="0"/>
    <m/>
    <n v="61.7"/>
  </r>
  <r>
    <s v="USR-100630"/>
    <d v="2025-03-22T00:00:00"/>
    <x v="0"/>
    <x v="0"/>
    <x v="1"/>
    <x v="4"/>
    <x v="1"/>
    <n v="0"/>
    <n v="0"/>
    <n v="0"/>
    <n v="0"/>
    <n v="0"/>
    <n v="0"/>
    <n v="0"/>
    <n v="0"/>
    <n v="0"/>
    <m/>
    <n v="45"/>
  </r>
  <r>
    <s v="USR-100631"/>
    <d v="2025-04-08T00:00:00"/>
    <x v="0"/>
    <x v="2"/>
    <x v="0"/>
    <x v="1"/>
    <x v="2"/>
    <n v="1"/>
    <n v="1"/>
    <n v="1"/>
    <n v="0"/>
    <n v="0"/>
    <n v="0"/>
    <n v="0"/>
    <n v="0"/>
    <n v="0"/>
    <m/>
    <n v="60"/>
  </r>
  <r>
    <s v="USR-100632"/>
    <d v="2025-03-16T00:00:00"/>
    <x v="0"/>
    <x v="0"/>
    <x v="1"/>
    <x v="4"/>
    <x v="1"/>
    <n v="1"/>
    <n v="0"/>
    <n v="0"/>
    <n v="0"/>
    <n v="0"/>
    <n v="0"/>
    <n v="0"/>
    <n v="0"/>
    <n v="0"/>
    <m/>
    <m/>
  </r>
  <r>
    <s v="USR-100633"/>
    <d v="2025-03-07T00:00:00"/>
    <x v="0"/>
    <x v="2"/>
    <x v="1"/>
    <x v="2"/>
    <x v="1"/>
    <n v="1"/>
    <n v="0"/>
    <n v="0"/>
    <n v="0"/>
    <n v="0"/>
    <n v="0"/>
    <n v="0"/>
    <n v="0"/>
    <n v="0"/>
    <m/>
    <n v="55.5"/>
  </r>
  <r>
    <s v="USR-100634"/>
    <d v="2025-03-16T00:00:00"/>
    <x v="0"/>
    <x v="3"/>
    <x v="1"/>
    <x v="3"/>
    <x v="0"/>
    <n v="0"/>
    <n v="0"/>
    <n v="0"/>
    <n v="0"/>
    <n v="0"/>
    <n v="0"/>
    <n v="0"/>
    <n v="0"/>
    <n v="0"/>
    <m/>
    <n v="51.8"/>
  </r>
  <r>
    <s v="USR-100635"/>
    <d v="2025-05-26T00:00:00"/>
    <x v="0"/>
    <x v="2"/>
    <x v="1"/>
    <x v="5"/>
    <x v="2"/>
    <n v="1"/>
    <n v="0"/>
    <n v="0"/>
    <n v="0"/>
    <n v="0"/>
    <n v="0"/>
    <n v="3"/>
    <n v="1"/>
    <n v="0"/>
    <m/>
    <n v="56"/>
  </r>
  <r>
    <s v="USR-100636"/>
    <d v="2025-01-14T00:00:00"/>
    <x v="0"/>
    <x v="1"/>
    <x v="1"/>
    <x v="1"/>
    <x v="1"/>
    <n v="0"/>
    <n v="0"/>
    <n v="0"/>
    <n v="0"/>
    <n v="0"/>
    <n v="0"/>
    <n v="0"/>
    <n v="0"/>
    <n v="0"/>
    <m/>
    <n v="52.5"/>
  </r>
  <r>
    <s v="USR-100637"/>
    <d v="2025-03-30T00:00:00"/>
    <x v="0"/>
    <x v="1"/>
    <x v="1"/>
    <x v="2"/>
    <x v="2"/>
    <n v="1"/>
    <n v="0"/>
    <n v="0"/>
    <n v="0"/>
    <n v="0"/>
    <n v="0"/>
    <n v="0"/>
    <n v="0"/>
    <n v="0"/>
    <m/>
    <n v="42.5"/>
  </r>
  <r>
    <s v="USR-100638"/>
    <d v="2025-05-12T00:00:00"/>
    <x v="0"/>
    <x v="2"/>
    <x v="0"/>
    <x v="0"/>
    <x v="1"/>
    <n v="1"/>
    <n v="1"/>
    <n v="1"/>
    <n v="0"/>
    <n v="0"/>
    <n v="0"/>
    <n v="0"/>
    <n v="0"/>
    <n v="0"/>
    <m/>
    <n v="65.3"/>
  </r>
  <r>
    <s v="USR-100639"/>
    <d v="2025-05-10T00:00:00"/>
    <x v="0"/>
    <x v="1"/>
    <x v="1"/>
    <x v="2"/>
    <x v="1"/>
    <n v="0"/>
    <n v="0"/>
    <n v="0"/>
    <n v="0"/>
    <n v="0"/>
    <n v="0"/>
    <n v="0"/>
    <n v="0"/>
    <n v="0"/>
    <m/>
    <n v="37.6"/>
  </r>
  <r>
    <s v="USR-100640"/>
    <d v="2025-04-09T00:00:00"/>
    <x v="0"/>
    <x v="2"/>
    <x v="1"/>
    <x v="4"/>
    <x v="0"/>
    <n v="0"/>
    <n v="0"/>
    <n v="0"/>
    <n v="0"/>
    <n v="0"/>
    <n v="0"/>
    <n v="0"/>
    <n v="0"/>
    <n v="0"/>
    <m/>
    <n v="57.8"/>
  </r>
  <r>
    <s v="USR-100641"/>
    <d v="2025-05-26T00:00:00"/>
    <x v="0"/>
    <x v="0"/>
    <x v="1"/>
    <x v="4"/>
    <x v="1"/>
    <n v="1"/>
    <n v="0"/>
    <n v="0"/>
    <n v="0"/>
    <n v="0"/>
    <n v="0"/>
    <n v="0"/>
    <n v="0"/>
    <n v="0"/>
    <m/>
    <n v="52.7"/>
  </r>
  <r>
    <s v="USR-100642"/>
    <d v="2025-02-12T00:00:00"/>
    <x v="0"/>
    <x v="0"/>
    <x v="1"/>
    <x v="1"/>
    <x v="1"/>
    <n v="1"/>
    <n v="0"/>
    <n v="0"/>
    <n v="0"/>
    <n v="0"/>
    <n v="0"/>
    <n v="0"/>
    <n v="0"/>
    <n v="0"/>
    <m/>
    <n v="51.7"/>
  </r>
  <r>
    <s v="USR-100643"/>
    <d v="2025-04-01T00:00:00"/>
    <x v="0"/>
    <x v="0"/>
    <x v="0"/>
    <x v="0"/>
    <x v="0"/>
    <n v="0"/>
    <n v="0"/>
    <n v="0"/>
    <n v="0"/>
    <n v="0"/>
    <n v="0"/>
    <n v="0"/>
    <n v="0"/>
    <n v="0"/>
    <m/>
    <n v="57"/>
  </r>
  <r>
    <s v="USR-100644"/>
    <d v="2025-01-18T00:00:00"/>
    <x v="0"/>
    <x v="3"/>
    <x v="0"/>
    <x v="1"/>
    <x v="0"/>
    <n v="0"/>
    <n v="0"/>
    <n v="0"/>
    <n v="0"/>
    <n v="0"/>
    <n v="0"/>
    <n v="0"/>
    <n v="0"/>
    <n v="0"/>
    <m/>
    <n v="39.5"/>
  </r>
  <r>
    <s v="USR-100645"/>
    <d v="2025-04-06T00:00:00"/>
    <x v="0"/>
    <x v="2"/>
    <x v="2"/>
    <x v="1"/>
    <x v="1"/>
    <n v="1"/>
    <n v="0"/>
    <n v="0"/>
    <n v="0"/>
    <n v="0"/>
    <n v="0"/>
    <n v="0"/>
    <n v="0"/>
    <n v="0"/>
    <m/>
    <n v="76.5"/>
  </r>
  <r>
    <s v="USR-100646"/>
    <d v="2025-04-17T00:00:00"/>
    <x v="0"/>
    <x v="2"/>
    <x v="1"/>
    <x v="1"/>
    <x v="1"/>
    <n v="1"/>
    <n v="0"/>
    <n v="0"/>
    <n v="0"/>
    <n v="0"/>
    <n v="0"/>
    <n v="0"/>
    <n v="0"/>
    <n v="0"/>
    <m/>
    <n v="32.4"/>
  </r>
  <r>
    <s v="USR-100647"/>
    <d v="2025-02-07T00:00:00"/>
    <x v="0"/>
    <x v="0"/>
    <x v="0"/>
    <x v="2"/>
    <x v="1"/>
    <n v="0"/>
    <n v="0"/>
    <n v="0"/>
    <n v="0"/>
    <n v="0"/>
    <n v="0"/>
    <n v="0"/>
    <n v="0"/>
    <n v="0"/>
    <m/>
    <n v="58.6"/>
  </r>
  <r>
    <s v="USR-100648"/>
    <d v="2025-03-04T00:00:00"/>
    <x v="0"/>
    <x v="2"/>
    <x v="1"/>
    <x v="1"/>
    <x v="0"/>
    <n v="1"/>
    <n v="0"/>
    <n v="0"/>
    <n v="0"/>
    <n v="0"/>
    <n v="0"/>
    <n v="0"/>
    <n v="0"/>
    <n v="0"/>
    <m/>
    <n v="78.599999999999994"/>
  </r>
  <r>
    <s v="USR-100649"/>
    <d v="2025-02-17T00:00:00"/>
    <x v="0"/>
    <x v="0"/>
    <x v="0"/>
    <x v="1"/>
    <x v="2"/>
    <n v="0"/>
    <n v="0"/>
    <n v="0"/>
    <n v="0"/>
    <n v="0"/>
    <n v="0"/>
    <n v="0"/>
    <n v="0"/>
    <n v="0"/>
    <m/>
    <n v="54.5"/>
  </r>
  <r>
    <s v="USR-100650"/>
    <d v="2025-05-06T00:00:00"/>
    <x v="0"/>
    <x v="3"/>
    <x v="1"/>
    <x v="3"/>
    <x v="1"/>
    <n v="1"/>
    <n v="0"/>
    <n v="0"/>
    <n v="0"/>
    <n v="0"/>
    <n v="0"/>
    <n v="0"/>
    <n v="0"/>
    <n v="0"/>
    <m/>
    <n v="57.6"/>
  </r>
  <r>
    <s v="USR-100651"/>
    <d v="2025-03-25T00:00:00"/>
    <x v="0"/>
    <x v="3"/>
    <x v="1"/>
    <x v="3"/>
    <x v="2"/>
    <n v="0"/>
    <n v="0"/>
    <n v="0"/>
    <n v="0"/>
    <n v="0"/>
    <n v="0"/>
    <n v="0"/>
    <n v="0"/>
    <n v="0"/>
    <m/>
    <n v="52.8"/>
  </r>
  <r>
    <s v="USR-100652"/>
    <d v="2025-03-04T00:00:00"/>
    <x v="0"/>
    <x v="1"/>
    <x v="1"/>
    <x v="0"/>
    <x v="2"/>
    <n v="1"/>
    <n v="0"/>
    <n v="0"/>
    <n v="0"/>
    <n v="0"/>
    <n v="0"/>
    <n v="0"/>
    <n v="0"/>
    <n v="0"/>
    <m/>
    <n v="52.9"/>
  </r>
  <r>
    <s v="USR-100653"/>
    <d v="2025-05-09T00:00:00"/>
    <x v="0"/>
    <x v="1"/>
    <x v="1"/>
    <x v="1"/>
    <x v="1"/>
    <n v="1"/>
    <n v="0"/>
    <n v="0"/>
    <n v="0"/>
    <n v="0"/>
    <n v="0"/>
    <n v="1"/>
    <n v="1"/>
    <n v="0"/>
    <m/>
    <n v="55.9"/>
  </r>
  <r>
    <s v="USR-100654"/>
    <d v="2025-05-17T00:00:00"/>
    <x v="0"/>
    <x v="1"/>
    <x v="1"/>
    <x v="3"/>
    <x v="2"/>
    <n v="1"/>
    <n v="0"/>
    <n v="0"/>
    <n v="0"/>
    <n v="0"/>
    <n v="0"/>
    <n v="0"/>
    <n v="0"/>
    <n v="0"/>
    <m/>
    <n v="74.2"/>
  </r>
  <r>
    <s v="USR-100655"/>
    <d v="2025-01-12T00:00:00"/>
    <x v="0"/>
    <x v="1"/>
    <x v="1"/>
    <x v="1"/>
    <x v="1"/>
    <n v="0"/>
    <n v="0"/>
    <n v="0"/>
    <n v="0"/>
    <n v="0"/>
    <n v="0"/>
    <n v="0"/>
    <n v="0"/>
    <n v="0"/>
    <m/>
    <n v="46.3"/>
  </r>
  <r>
    <s v="USR-100656"/>
    <d v="2025-03-12T00:00:00"/>
    <x v="0"/>
    <x v="1"/>
    <x v="1"/>
    <x v="1"/>
    <x v="2"/>
    <n v="1"/>
    <n v="0"/>
    <n v="0"/>
    <n v="0"/>
    <n v="0"/>
    <n v="0"/>
    <n v="0"/>
    <n v="0"/>
    <n v="0"/>
    <m/>
    <n v="62"/>
  </r>
  <r>
    <s v="USR-100657"/>
    <d v="2025-04-02T00:00:00"/>
    <x v="0"/>
    <x v="3"/>
    <x v="1"/>
    <x v="1"/>
    <x v="0"/>
    <n v="0"/>
    <n v="0"/>
    <n v="0"/>
    <n v="0"/>
    <n v="0"/>
    <n v="0"/>
    <n v="0"/>
    <n v="0"/>
    <n v="0"/>
    <m/>
    <n v="55.6"/>
  </r>
  <r>
    <s v="USR-100658"/>
    <d v="2025-01-13T00:00:00"/>
    <x v="0"/>
    <x v="3"/>
    <x v="1"/>
    <x v="1"/>
    <x v="0"/>
    <n v="1"/>
    <n v="0"/>
    <n v="0"/>
    <n v="0"/>
    <n v="0"/>
    <n v="0"/>
    <n v="0"/>
    <n v="0"/>
    <n v="0"/>
    <m/>
    <n v="62.8"/>
  </r>
  <r>
    <s v="USR-100659"/>
    <d v="2025-03-07T00:00:00"/>
    <x v="0"/>
    <x v="2"/>
    <x v="1"/>
    <x v="3"/>
    <x v="1"/>
    <n v="0"/>
    <n v="0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x v="1"/>
    <n v="1"/>
    <n v="1"/>
    <n v="1"/>
    <n v="1"/>
    <n v="347.52"/>
    <n v="347.52"/>
    <n v="0"/>
    <n v="0"/>
    <n v="0"/>
    <n v="2"/>
    <n v="57.2"/>
  </r>
  <r>
    <s v="USR-100661"/>
    <d v="2025-01-07T00:00:00"/>
    <x v="0"/>
    <x v="3"/>
    <x v="1"/>
    <x v="2"/>
    <x v="1"/>
    <n v="1"/>
    <n v="0"/>
    <n v="0"/>
    <n v="0"/>
    <n v="0"/>
    <n v="0"/>
    <n v="0"/>
    <n v="0"/>
    <n v="0"/>
    <m/>
    <n v="67.900000000000006"/>
  </r>
  <r>
    <s v="USR-100662"/>
    <d v="2025-04-23T00:00:00"/>
    <x v="0"/>
    <x v="3"/>
    <x v="1"/>
    <x v="3"/>
    <x v="1"/>
    <n v="0"/>
    <n v="0"/>
    <n v="0"/>
    <n v="0"/>
    <n v="0"/>
    <n v="0"/>
    <n v="0"/>
    <n v="0"/>
    <n v="0"/>
    <m/>
    <n v="50.1"/>
  </r>
  <r>
    <s v="USR-100663"/>
    <d v="2025-05-26T00:00:00"/>
    <x v="0"/>
    <x v="0"/>
    <x v="1"/>
    <x v="2"/>
    <x v="0"/>
    <n v="0"/>
    <n v="0"/>
    <n v="0"/>
    <n v="0"/>
    <n v="0"/>
    <n v="0"/>
    <n v="0"/>
    <n v="0"/>
    <n v="0"/>
    <m/>
    <n v="67.8"/>
  </r>
  <r>
    <s v="USR-100664"/>
    <d v="2025-03-17T00:00:00"/>
    <x v="0"/>
    <x v="0"/>
    <x v="0"/>
    <x v="4"/>
    <x v="0"/>
    <n v="1"/>
    <n v="1"/>
    <n v="1"/>
    <n v="0"/>
    <n v="0"/>
    <n v="0"/>
    <n v="0"/>
    <n v="0"/>
    <n v="0"/>
    <m/>
    <n v="60.8"/>
  </r>
  <r>
    <s v="USR-100665"/>
    <d v="2025-05-17T00:00:00"/>
    <x v="0"/>
    <x v="0"/>
    <x v="0"/>
    <x v="2"/>
    <x v="0"/>
    <n v="1"/>
    <n v="0"/>
    <n v="0"/>
    <n v="0"/>
    <n v="0"/>
    <n v="0"/>
    <n v="3"/>
    <n v="1"/>
    <n v="0"/>
    <m/>
    <n v="33.700000000000003"/>
  </r>
  <r>
    <s v="USR-100666"/>
    <d v="2025-02-21T00:00:00"/>
    <x v="0"/>
    <x v="0"/>
    <x v="1"/>
    <x v="2"/>
    <x v="0"/>
    <n v="0"/>
    <n v="0"/>
    <n v="0"/>
    <n v="0"/>
    <n v="0"/>
    <n v="0"/>
    <n v="0"/>
    <n v="0"/>
    <n v="0"/>
    <m/>
    <n v="45.2"/>
  </r>
  <r>
    <s v="USR-100667"/>
    <d v="2025-02-25T00:00:00"/>
    <x v="0"/>
    <x v="2"/>
    <x v="0"/>
    <x v="2"/>
    <x v="2"/>
    <n v="0"/>
    <n v="0"/>
    <n v="0"/>
    <n v="0"/>
    <n v="0"/>
    <n v="0"/>
    <n v="0"/>
    <n v="0"/>
    <n v="0"/>
    <m/>
    <n v="48.2"/>
  </r>
  <r>
    <s v="USR-100668"/>
    <d v="2025-01-30T00:00:00"/>
    <x v="0"/>
    <x v="3"/>
    <x v="1"/>
    <x v="4"/>
    <x v="1"/>
    <n v="1"/>
    <n v="1"/>
    <n v="0"/>
    <n v="0"/>
    <n v="0"/>
    <n v="0"/>
    <n v="1"/>
    <n v="1"/>
    <n v="0"/>
    <m/>
    <n v="44.8"/>
  </r>
  <r>
    <s v="USR-100669"/>
    <d v="2025-02-17T00:00:00"/>
    <x v="0"/>
    <x v="0"/>
    <x v="2"/>
    <x v="4"/>
    <x v="0"/>
    <n v="0"/>
    <n v="0"/>
    <n v="0"/>
    <n v="0"/>
    <n v="0"/>
    <n v="0"/>
    <n v="0"/>
    <n v="0"/>
    <n v="0"/>
    <m/>
    <n v="52.1"/>
  </r>
  <r>
    <s v="USR-100670"/>
    <d v="2025-05-17T00:00:00"/>
    <x v="0"/>
    <x v="0"/>
    <x v="0"/>
    <x v="2"/>
    <x v="0"/>
    <n v="1"/>
    <n v="0"/>
    <n v="0"/>
    <n v="0"/>
    <n v="0"/>
    <n v="0"/>
    <n v="0"/>
    <n v="0"/>
    <n v="0"/>
    <m/>
    <n v="30.7"/>
  </r>
  <r>
    <s v="USR-100671"/>
    <d v="2025-04-30T00:00:00"/>
    <x v="0"/>
    <x v="2"/>
    <x v="0"/>
    <x v="2"/>
    <x v="1"/>
    <n v="1"/>
    <n v="0"/>
    <n v="0"/>
    <n v="0"/>
    <n v="0"/>
    <n v="0"/>
    <n v="0"/>
    <n v="0"/>
    <n v="0"/>
    <m/>
    <n v="58.4"/>
  </r>
  <r>
    <s v="USR-100672"/>
    <d v="2025-03-22T00:00:00"/>
    <x v="0"/>
    <x v="1"/>
    <x v="1"/>
    <x v="3"/>
    <x v="1"/>
    <n v="1"/>
    <n v="1"/>
    <n v="0"/>
    <n v="0"/>
    <n v="0"/>
    <n v="0"/>
    <n v="0"/>
    <n v="0"/>
    <n v="0"/>
    <m/>
    <n v="52.6"/>
  </r>
  <r>
    <s v="USR-100673"/>
    <d v="2025-01-10T00:00:00"/>
    <x v="0"/>
    <x v="1"/>
    <x v="3"/>
    <x v="2"/>
    <x v="1"/>
    <n v="1"/>
    <n v="0"/>
    <n v="0"/>
    <n v="0"/>
    <n v="0"/>
    <n v="0"/>
    <n v="1"/>
    <n v="1"/>
    <n v="0"/>
    <m/>
    <n v="19.100000000000001"/>
  </r>
  <r>
    <s v="USR-100674"/>
    <d v="2025-03-21T00:00:00"/>
    <x v="0"/>
    <x v="3"/>
    <x v="3"/>
    <x v="2"/>
    <x v="1"/>
    <n v="1"/>
    <n v="0"/>
    <n v="0"/>
    <n v="0"/>
    <n v="0"/>
    <n v="0"/>
    <n v="0"/>
    <n v="0"/>
    <n v="0"/>
    <m/>
    <n v="36.799999999999997"/>
  </r>
  <r>
    <s v="USR-100675"/>
    <d v="2025-05-12T00:00:00"/>
    <x v="0"/>
    <x v="0"/>
    <x v="0"/>
    <x v="2"/>
    <x v="0"/>
    <n v="0"/>
    <n v="0"/>
    <n v="0"/>
    <n v="0"/>
    <n v="0"/>
    <n v="0"/>
    <n v="0"/>
    <n v="0"/>
    <n v="0"/>
    <m/>
    <n v="68.5"/>
  </r>
  <r>
    <s v="USR-100676"/>
    <d v="2025-05-24T00:00:00"/>
    <x v="0"/>
    <x v="1"/>
    <x v="1"/>
    <x v="2"/>
    <x v="1"/>
    <n v="1"/>
    <n v="1"/>
    <n v="1"/>
    <n v="0"/>
    <n v="0"/>
    <n v="0"/>
    <n v="0"/>
    <n v="0"/>
    <n v="0"/>
    <m/>
    <n v="40.1"/>
  </r>
  <r>
    <s v="USR-100677"/>
    <d v="2025-05-03T00:00:00"/>
    <x v="0"/>
    <x v="1"/>
    <x v="2"/>
    <x v="1"/>
    <x v="1"/>
    <n v="1"/>
    <n v="0"/>
    <n v="0"/>
    <n v="0"/>
    <n v="0"/>
    <n v="0"/>
    <n v="0"/>
    <n v="0"/>
    <n v="0"/>
    <m/>
    <n v="47.5"/>
  </r>
  <r>
    <s v="USR-100678"/>
    <d v="2025-01-14T00:00:00"/>
    <x v="0"/>
    <x v="3"/>
    <x v="1"/>
    <x v="1"/>
    <x v="0"/>
    <n v="1"/>
    <n v="0"/>
    <n v="0"/>
    <n v="0"/>
    <n v="0"/>
    <n v="0"/>
    <n v="0"/>
    <n v="0"/>
    <n v="0"/>
    <m/>
    <n v="77.099999999999994"/>
  </r>
  <r>
    <s v="USR-100679"/>
    <d v="2025-03-27T00:00:00"/>
    <x v="0"/>
    <x v="1"/>
    <x v="1"/>
    <x v="4"/>
    <x v="0"/>
    <n v="1"/>
    <n v="0"/>
    <n v="0"/>
    <n v="0"/>
    <n v="0"/>
    <n v="0"/>
    <n v="0"/>
    <n v="0"/>
    <n v="0"/>
    <m/>
    <n v="75.900000000000006"/>
  </r>
  <r>
    <s v="USR-100680"/>
    <d v="2025-02-28T00:00:00"/>
    <x v="0"/>
    <x v="0"/>
    <x v="0"/>
    <x v="3"/>
    <x v="2"/>
    <n v="0"/>
    <n v="0"/>
    <n v="0"/>
    <n v="0"/>
    <n v="0"/>
    <n v="0"/>
    <n v="1"/>
    <n v="1"/>
    <n v="0"/>
    <m/>
    <n v="52"/>
  </r>
  <r>
    <s v="USR-100681"/>
    <d v="2025-05-12T00:00:00"/>
    <x v="0"/>
    <x v="1"/>
    <x v="0"/>
    <x v="3"/>
    <x v="2"/>
    <n v="1"/>
    <n v="1"/>
    <n v="1"/>
    <n v="0"/>
    <n v="0"/>
    <n v="0"/>
    <n v="0"/>
    <n v="0"/>
    <n v="0"/>
    <m/>
    <n v="64.900000000000006"/>
  </r>
  <r>
    <s v="USR-100682"/>
    <d v="2025-03-14T00:00:00"/>
    <x v="0"/>
    <x v="0"/>
    <x v="1"/>
    <x v="1"/>
    <x v="1"/>
    <n v="1"/>
    <n v="0"/>
    <n v="0"/>
    <n v="0"/>
    <n v="0"/>
    <n v="0"/>
    <n v="0"/>
    <n v="0"/>
    <n v="0"/>
    <m/>
    <n v="48.2"/>
  </r>
  <r>
    <s v="USR-100683"/>
    <d v="2025-05-20T00:00:00"/>
    <x v="0"/>
    <x v="2"/>
    <x v="1"/>
    <x v="1"/>
    <x v="0"/>
    <n v="0"/>
    <n v="0"/>
    <n v="0"/>
    <n v="0"/>
    <n v="0"/>
    <n v="0"/>
    <n v="0"/>
    <n v="0"/>
    <n v="0"/>
    <m/>
    <n v="42.1"/>
  </r>
  <r>
    <s v="USR-100684"/>
    <d v="2025-02-24T00:00:00"/>
    <x v="0"/>
    <x v="3"/>
    <x v="0"/>
    <x v="3"/>
    <x v="1"/>
    <n v="0"/>
    <n v="0"/>
    <n v="0"/>
    <n v="0"/>
    <n v="0"/>
    <n v="0"/>
    <n v="0"/>
    <n v="0"/>
    <n v="0"/>
    <m/>
    <n v="27.6"/>
  </r>
  <r>
    <s v="USR-100685"/>
    <d v="2025-02-13T00:00:00"/>
    <x v="0"/>
    <x v="1"/>
    <x v="1"/>
    <x v="1"/>
    <x v="2"/>
    <n v="1"/>
    <n v="0"/>
    <n v="0"/>
    <n v="0"/>
    <n v="0"/>
    <n v="0"/>
    <n v="1"/>
    <n v="1"/>
    <n v="0"/>
    <m/>
    <n v="68.5"/>
  </r>
  <r>
    <s v="USR-100686"/>
    <d v="2025-02-06T00:00:00"/>
    <x v="0"/>
    <x v="3"/>
    <x v="0"/>
    <x v="1"/>
    <x v="1"/>
    <n v="1"/>
    <n v="1"/>
    <n v="1"/>
    <n v="0"/>
    <n v="0"/>
    <n v="0"/>
    <n v="0"/>
    <n v="0"/>
    <n v="0"/>
    <m/>
    <n v="59.2"/>
  </r>
  <r>
    <s v="USR-100687"/>
    <d v="2025-03-02T00:00:00"/>
    <x v="0"/>
    <x v="0"/>
    <x v="1"/>
    <x v="4"/>
    <x v="0"/>
    <n v="1"/>
    <n v="0"/>
    <n v="0"/>
    <n v="0"/>
    <n v="0"/>
    <n v="0"/>
    <n v="0"/>
    <n v="0"/>
    <n v="0"/>
    <m/>
    <n v="63.3"/>
  </r>
  <r>
    <s v="USR-100688"/>
    <d v="2025-04-28T00:00:00"/>
    <x v="0"/>
    <x v="2"/>
    <x v="0"/>
    <x v="2"/>
    <x v="1"/>
    <n v="0"/>
    <n v="0"/>
    <n v="0"/>
    <n v="0"/>
    <n v="0"/>
    <n v="0"/>
    <n v="0"/>
    <n v="0"/>
    <n v="0"/>
    <m/>
    <n v="55"/>
  </r>
  <r>
    <s v="USR-100689"/>
    <d v="2025-05-27T00:00:00"/>
    <x v="0"/>
    <x v="0"/>
    <x v="0"/>
    <x v="5"/>
    <x v="2"/>
    <n v="1"/>
    <n v="0"/>
    <n v="0"/>
    <n v="0"/>
    <n v="0"/>
    <n v="0"/>
    <n v="0"/>
    <n v="0"/>
    <n v="0"/>
    <m/>
    <n v="64.8"/>
  </r>
  <r>
    <s v="USR-100690"/>
    <d v="2025-04-07T00:00:00"/>
    <x v="0"/>
    <x v="3"/>
    <x v="0"/>
    <x v="1"/>
    <x v="0"/>
    <n v="0"/>
    <n v="0"/>
    <n v="0"/>
    <n v="0"/>
    <n v="0"/>
    <n v="0"/>
    <n v="2"/>
    <n v="1"/>
    <n v="0"/>
    <m/>
    <n v="41.8"/>
  </r>
  <r>
    <s v="USR-100691"/>
    <d v="2025-04-14T00:00:00"/>
    <x v="1"/>
    <x v="2"/>
    <x v="0"/>
    <x v="4"/>
    <x v="0"/>
    <n v="1"/>
    <n v="0"/>
    <n v="0"/>
    <n v="0"/>
    <n v="0"/>
    <n v="0"/>
    <n v="0"/>
    <n v="0"/>
    <n v="0"/>
    <m/>
    <n v="73.2"/>
  </r>
  <r>
    <s v="USR-100692"/>
    <d v="2025-05-09T00:00:00"/>
    <x v="1"/>
    <x v="2"/>
    <x v="0"/>
    <x v="1"/>
    <x v="0"/>
    <n v="1"/>
    <n v="1"/>
    <n v="1"/>
    <n v="0"/>
    <n v="0"/>
    <n v="0"/>
    <n v="3"/>
    <n v="1"/>
    <n v="0"/>
    <m/>
    <n v="55.7"/>
  </r>
  <r>
    <s v="USR-100693"/>
    <d v="2025-03-21T00:00:00"/>
    <x v="1"/>
    <x v="0"/>
    <x v="1"/>
    <x v="1"/>
    <x v="1"/>
    <n v="1"/>
    <n v="1"/>
    <n v="1"/>
    <n v="0"/>
    <n v="0"/>
    <n v="0"/>
    <n v="0"/>
    <n v="0"/>
    <n v="0"/>
    <m/>
    <n v="82.8"/>
  </r>
  <r>
    <s v="USR-100694"/>
    <d v="2025-03-27T00:00:00"/>
    <x v="1"/>
    <x v="0"/>
    <x v="0"/>
    <x v="4"/>
    <x v="1"/>
    <n v="1"/>
    <n v="0"/>
    <n v="0"/>
    <n v="0"/>
    <n v="0"/>
    <n v="0"/>
    <n v="0"/>
    <n v="0"/>
    <n v="0"/>
    <m/>
    <m/>
  </r>
  <r>
    <s v="USR-100695"/>
    <d v="2025-01-21T00:00:00"/>
    <x v="1"/>
    <x v="3"/>
    <x v="1"/>
    <x v="2"/>
    <x v="1"/>
    <n v="0"/>
    <n v="0"/>
    <n v="0"/>
    <n v="0"/>
    <n v="0"/>
    <n v="0"/>
    <n v="0"/>
    <n v="0"/>
    <n v="0"/>
    <m/>
    <n v="34.4"/>
  </r>
  <r>
    <s v="USR-100696"/>
    <d v="2025-03-19T00:00:00"/>
    <x v="1"/>
    <x v="2"/>
    <x v="0"/>
    <x v="0"/>
    <x v="1"/>
    <n v="1"/>
    <n v="0"/>
    <n v="0"/>
    <n v="0"/>
    <n v="0"/>
    <n v="0"/>
    <n v="0"/>
    <n v="0"/>
    <n v="0"/>
    <m/>
    <n v="45.2"/>
  </r>
  <r>
    <s v="USR-100697"/>
    <d v="2025-05-27T00:00:00"/>
    <x v="1"/>
    <x v="0"/>
    <x v="1"/>
    <x v="1"/>
    <x v="0"/>
    <n v="1"/>
    <n v="0"/>
    <n v="0"/>
    <n v="0"/>
    <n v="0"/>
    <n v="0"/>
    <n v="0"/>
    <n v="0"/>
    <n v="0"/>
    <m/>
    <n v="71.599999999999994"/>
  </r>
  <r>
    <s v="USR-100698"/>
    <d v="2025-01-01T00:00:00"/>
    <x v="1"/>
    <x v="0"/>
    <x v="1"/>
    <x v="4"/>
    <x v="1"/>
    <n v="1"/>
    <n v="1"/>
    <n v="1"/>
    <n v="0"/>
    <n v="0"/>
    <n v="0"/>
    <n v="0"/>
    <n v="0"/>
    <n v="0"/>
    <m/>
    <n v="69.099999999999994"/>
  </r>
  <r>
    <s v="USR-100699"/>
    <d v="2025-03-29T00:00:00"/>
    <x v="1"/>
    <x v="1"/>
    <x v="0"/>
    <x v="2"/>
    <x v="2"/>
    <n v="1"/>
    <n v="0"/>
    <n v="0"/>
    <n v="0"/>
    <n v="0"/>
    <n v="0"/>
    <n v="1"/>
    <n v="1"/>
    <n v="0"/>
    <m/>
    <n v="37.700000000000003"/>
  </r>
  <r>
    <s v="USR-100700"/>
    <d v="2025-03-17T00:00:00"/>
    <x v="1"/>
    <x v="1"/>
    <x v="0"/>
    <x v="1"/>
    <x v="0"/>
    <n v="1"/>
    <n v="0"/>
    <n v="0"/>
    <n v="0"/>
    <n v="0"/>
    <n v="0"/>
    <n v="1"/>
    <n v="1"/>
    <n v="0"/>
    <m/>
    <n v="60.8"/>
  </r>
  <r>
    <s v="USR-100701"/>
    <d v="2025-05-05T00:00:00"/>
    <x v="1"/>
    <x v="0"/>
    <x v="1"/>
    <x v="1"/>
    <x v="1"/>
    <n v="1"/>
    <n v="1"/>
    <n v="1"/>
    <n v="1"/>
    <n v="444.13"/>
    <n v="444.13"/>
    <n v="0"/>
    <n v="0"/>
    <n v="0"/>
    <n v="10"/>
    <n v="80.7"/>
  </r>
  <r>
    <s v="USR-100702"/>
    <d v="2025-05-04T00:00:00"/>
    <x v="1"/>
    <x v="3"/>
    <x v="1"/>
    <x v="4"/>
    <x v="1"/>
    <n v="1"/>
    <n v="0"/>
    <n v="0"/>
    <n v="0"/>
    <n v="0"/>
    <n v="0"/>
    <n v="0"/>
    <n v="0"/>
    <n v="0"/>
    <m/>
    <n v="69.2"/>
  </r>
  <r>
    <s v="USR-100703"/>
    <d v="2025-03-25T00:00:00"/>
    <x v="1"/>
    <x v="0"/>
    <x v="1"/>
    <x v="4"/>
    <x v="2"/>
    <n v="0"/>
    <n v="0"/>
    <n v="0"/>
    <n v="0"/>
    <n v="0"/>
    <n v="0"/>
    <n v="3"/>
    <n v="1"/>
    <n v="0"/>
    <m/>
    <n v="55"/>
  </r>
  <r>
    <s v="USR-100704"/>
    <d v="2025-04-17T00:00:00"/>
    <x v="1"/>
    <x v="1"/>
    <x v="1"/>
    <x v="0"/>
    <x v="1"/>
    <n v="0"/>
    <n v="0"/>
    <n v="0"/>
    <n v="0"/>
    <n v="0"/>
    <n v="0"/>
    <n v="1"/>
    <n v="1"/>
    <n v="0"/>
    <m/>
    <n v="73.599999999999994"/>
  </r>
  <r>
    <s v="USR-100705"/>
    <d v="2025-05-23T00:00:00"/>
    <x v="1"/>
    <x v="3"/>
    <x v="1"/>
    <x v="3"/>
    <x v="0"/>
    <n v="1"/>
    <n v="1"/>
    <n v="1"/>
    <n v="0"/>
    <n v="0"/>
    <n v="0"/>
    <n v="1"/>
    <n v="1"/>
    <n v="0"/>
    <m/>
    <n v="47.3"/>
  </r>
  <r>
    <s v="USR-100706"/>
    <d v="2025-01-13T00:00:00"/>
    <x v="1"/>
    <x v="0"/>
    <x v="1"/>
    <x v="1"/>
    <x v="0"/>
    <n v="0"/>
    <n v="0"/>
    <n v="0"/>
    <n v="0"/>
    <n v="0"/>
    <n v="0"/>
    <n v="0"/>
    <n v="0"/>
    <n v="0"/>
    <m/>
    <n v="43.6"/>
  </r>
  <r>
    <s v="USR-100707"/>
    <d v="2025-01-29T00:00:00"/>
    <x v="1"/>
    <x v="0"/>
    <x v="0"/>
    <x v="1"/>
    <x v="0"/>
    <n v="1"/>
    <n v="0"/>
    <n v="0"/>
    <n v="0"/>
    <n v="0"/>
    <n v="0"/>
    <n v="0"/>
    <n v="0"/>
    <n v="0"/>
    <m/>
    <m/>
  </r>
  <r>
    <s v="USR-100708"/>
    <d v="2025-05-11T00:00:00"/>
    <x v="1"/>
    <x v="3"/>
    <x v="1"/>
    <x v="0"/>
    <x v="1"/>
    <n v="0"/>
    <n v="0"/>
    <n v="0"/>
    <n v="0"/>
    <n v="0"/>
    <n v="0"/>
    <n v="0"/>
    <n v="0"/>
    <n v="0"/>
    <m/>
    <n v="55.2"/>
  </r>
  <r>
    <s v="USR-100709"/>
    <d v="2025-04-22T00:00:00"/>
    <x v="1"/>
    <x v="3"/>
    <x v="1"/>
    <x v="1"/>
    <x v="0"/>
    <n v="1"/>
    <n v="0"/>
    <n v="0"/>
    <n v="0"/>
    <n v="0"/>
    <n v="0"/>
    <n v="0"/>
    <n v="0"/>
    <n v="0"/>
    <m/>
    <n v="49.4"/>
  </r>
  <r>
    <s v="USR-100710"/>
    <d v="2025-03-03T00:00:00"/>
    <x v="1"/>
    <x v="3"/>
    <x v="1"/>
    <x v="4"/>
    <x v="1"/>
    <n v="1"/>
    <n v="1"/>
    <n v="1"/>
    <n v="0"/>
    <n v="0"/>
    <n v="0"/>
    <n v="1"/>
    <n v="1"/>
    <n v="0"/>
    <m/>
    <n v="60.1"/>
  </r>
  <r>
    <s v="USR-100711"/>
    <d v="2025-03-18T00:00:00"/>
    <x v="1"/>
    <x v="0"/>
    <x v="1"/>
    <x v="3"/>
    <x v="1"/>
    <n v="1"/>
    <n v="0"/>
    <n v="0"/>
    <n v="0"/>
    <n v="0"/>
    <n v="0"/>
    <n v="0"/>
    <n v="0"/>
    <n v="0"/>
    <m/>
    <n v="55.9"/>
  </r>
  <r>
    <s v="USR-100712"/>
    <d v="2025-04-05T00:00:00"/>
    <x v="1"/>
    <x v="0"/>
    <x v="1"/>
    <x v="1"/>
    <x v="0"/>
    <n v="1"/>
    <n v="0"/>
    <n v="0"/>
    <n v="0"/>
    <n v="0"/>
    <n v="0"/>
    <n v="0"/>
    <n v="0"/>
    <n v="0"/>
    <m/>
    <n v="51.5"/>
  </r>
  <r>
    <s v="USR-100713"/>
    <d v="2025-04-16T00:00:00"/>
    <x v="1"/>
    <x v="2"/>
    <x v="1"/>
    <x v="1"/>
    <x v="1"/>
    <n v="1"/>
    <n v="1"/>
    <n v="1"/>
    <n v="1"/>
    <n v="516.66999999999996"/>
    <n v="516.66999999999996"/>
    <n v="0"/>
    <n v="0"/>
    <n v="0"/>
    <n v="11"/>
    <n v="57.9"/>
  </r>
  <r>
    <s v="USR-100714"/>
    <d v="2025-04-20T00:00:00"/>
    <x v="1"/>
    <x v="3"/>
    <x v="1"/>
    <x v="3"/>
    <x v="1"/>
    <n v="1"/>
    <n v="1"/>
    <n v="1"/>
    <n v="1"/>
    <n v="277.18"/>
    <n v="277.18"/>
    <n v="2"/>
    <n v="1"/>
    <n v="0"/>
    <n v="8"/>
    <n v="59.2"/>
  </r>
  <r>
    <s v="USR-100715"/>
    <d v="2025-02-15T00:00:00"/>
    <x v="1"/>
    <x v="3"/>
    <x v="1"/>
    <x v="1"/>
    <x v="1"/>
    <n v="0"/>
    <n v="0"/>
    <n v="0"/>
    <n v="0"/>
    <n v="0"/>
    <n v="0"/>
    <n v="0"/>
    <n v="0"/>
    <n v="0"/>
    <m/>
    <n v="64.2"/>
  </r>
  <r>
    <s v="USR-100716"/>
    <d v="2025-01-21T00:00:00"/>
    <x v="1"/>
    <x v="3"/>
    <x v="1"/>
    <x v="1"/>
    <x v="1"/>
    <n v="1"/>
    <n v="0"/>
    <n v="0"/>
    <n v="0"/>
    <n v="0"/>
    <n v="0"/>
    <n v="0"/>
    <n v="0"/>
    <n v="0"/>
    <m/>
    <n v="68.8"/>
  </r>
  <r>
    <s v="USR-100717"/>
    <d v="2025-05-23T00:00:00"/>
    <x v="1"/>
    <x v="0"/>
    <x v="1"/>
    <x v="2"/>
    <x v="2"/>
    <n v="1"/>
    <n v="1"/>
    <n v="1"/>
    <n v="0"/>
    <n v="0"/>
    <n v="0"/>
    <n v="0"/>
    <n v="0"/>
    <n v="0"/>
    <m/>
    <n v="77.900000000000006"/>
  </r>
  <r>
    <s v="USR-100718"/>
    <d v="2025-01-22T00:00:00"/>
    <x v="1"/>
    <x v="1"/>
    <x v="1"/>
    <x v="2"/>
    <x v="0"/>
    <n v="0"/>
    <n v="0"/>
    <n v="0"/>
    <n v="0"/>
    <n v="0"/>
    <n v="0"/>
    <n v="0"/>
    <n v="0"/>
    <n v="0"/>
    <m/>
    <n v="92.1"/>
  </r>
  <r>
    <s v="USR-100719"/>
    <d v="2025-04-24T00:00:00"/>
    <x v="1"/>
    <x v="1"/>
    <x v="1"/>
    <x v="2"/>
    <x v="2"/>
    <n v="0"/>
    <n v="0"/>
    <n v="0"/>
    <n v="0"/>
    <n v="0"/>
    <n v="0"/>
    <n v="0"/>
    <n v="0"/>
    <n v="0"/>
    <m/>
    <n v="63.6"/>
  </r>
  <r>
    <s v="USR-100720"/>
    <d v="2025-01-17T00:00:00"/>
    <x v="1"/>
    <x v="1"/>
    <x v="0"/>
    <x v="0"/>
    <x v="1"/>
    <n v="0"/>
    <n v="0"/>
    <n v="0"/>
    <n v="0"/>
    <n v="0"/>
    <n v="0"/>
    <n v="2"/>
    <n v="1"/>
    <n v="0"/>
    <m/>
    <n v="61.6"/>
  </r>
  <r>
    <s v="USR-100721"/>
    <d v="2025-01-22T00:00:00"/>
    <x v="1"/>
    <x v="2"/>
    <x v="1"/>
    <x v="3"/>
    <x v="0"/>
    <n v="1"/>
    <n v="1"/>
    <n v="0"/>
    <n v="0"/>
    <n v="0"/>
    <n v="0"/>
    <n v="0"/>
    <n v="0"/>
    <n v="0"/>
    <m/>
    <n v="82.3"/>
  </r>
  <r>
    <s v="USR-100722"/>
    <d v="2025-05-04T00:00:00"/>
    <x v="1"/>
    <x v="2"/>
    <x v="0"/>
    <x v="2"/>
    <x v="1"/>
    <n v="1"/>
    <n v="0"/>
    <n v="0"/>
    <n v="0"/>
    <n v="0"/>
    <n v="0"/>
    <n v="0"/>
    <n v="0"/>
    <n v="0"/>
    <m/>
    <n v="79.3"/>
  </r>
  <r>
    <s v="USR-100723"/>
    <d v="2025-03-13T00:00:00"/>
    <x v="1"/>
    <x v="3"/>
    <x v="1"/>
    <x v="5"/>
    <x v="1"/>
    <n v="0"/>
    <n v="0"/>
    <n v="0"/>
    <n v="0"/>
    <n v="0"/>
    <n v="0"/>
    <n v="0"/>
    <n v="0"/>
    <n v="0"/>
    <m/>
    <n v="57.7"/>
  </r>
  <r>
    <s v="USR-100724"/>
    <d v="2025-01-02T00:00:00"/>
    <x v="1"/>
    <x v="0"/>
    <x v="1"/>
    <x v="1"/>
    <x v="0"/>
    <n v="1"/>
    <n v="0"/>
    <n v="0"/>
    <n v="0"/>
    <n v="0"/>
    <n v="0"/>
    <n v="0"/>
    <n v="0"/>
    <n v="0"/>
    <m/>
    <n v="63.1"/>
  </r>
  <r>
    <s v="USR-100725"/>
    <d v="2025-01-13T00:00:00"/>
    <x v="1"/>
    <x v="2"/>
    <x v="1"/>
    <x v="2"/>
    <x v="0"/>
    <n v="0"/>
    <n v="0"/>
    <n v="0"/>
    <n v="0"/>
    <n v="0"/>
    <n v="0"/>
    <n v="0"/>
    <n v="0"/>
    <n v="0"/>
    <m/>
    <n v="72.3"/>
  </r>
  <r>
    <s v="USR-100726"/>
    <d v="2025-02-09T00:00:00"/>
    <x v="1"/>
    <x v="2"/>
    <x v="1"/>
    <x v="4"/>
    <x v="1"/>
    <n v="1"/>
    <n v="1"/>
    <n v="1"/>
    <n v="0"/>
    <n v="0"/>
    <n v="0"/>
    <n v="0"/>
    <n v="0"/>
    <n v="0"/>
    <m/>
    <n v="78"/>
  </r>
  <r>
    <s v="USR-100727"/>
    <d v="2025-04-09T00:00:00"/>
    <x v="1"/>
    <x v="2"/>
    <x v="0"/>
    <x v="4"/>
    <x v="1"/>
    <n v="1"/>
    <n v="1"/>
    <n v="0"/>
    <n v="0"/>
    <n v="0"/>
    <n v="0"/>
    <n v="2"/>
    <n v="1"/>
    <n v="0"/>
    <m/>
    <n v="59.1"/>
  </r>
  <r>
    <s v="USR-100728"/>
    <d v="2025-01-02T00:00:00"/>
    <x v="1"/>
    <x v="3"/>
    <x v="1"/>
    <x v="2"/>
    <x v="1"/>
    <n v="1"/>
    <n v="1"/>
    <n v="1"/>
    <n v="1"/>
    <n v="604.09"/>
    <n v="604.09"/>
    <n v="0"/>
    <n v="0"/>
    <n v="0"/>
    <n v="7"/>
    <n v="47.1"/>
  </r>
  <r>
    <s v="USR-100729"/>
    <d v="2025-02-04T00:00:00"/>
    <x v="1"/>
    <x v="3"/>
    <x v="1"/>
    <x v="5"/>
    <x v="2"/>
    <n v="1"/>
    <n v="0"/>
    <n v="0"/>
    <n v="0"/>
    <n v="0"/>
    <n v="0"/>
    <n v="0"/>
    <n v="0"/>
    <n v="0"/>
    <m/>
    <n v="64.900000000000006"/>
  </r>
  <r>
    <s v="USR-100730"/>
    <d v="2025-02-19T00:00:00"/>
    <x v="1"/>
    <x v="3"/>
    <x v="2"/>
    <x v="2"/>
    <x v="1"/>
    <n v="0"/>
    <n v="0"/>
    <n v="0"/>
    <n v="0"/>
    <n v="0"/>
    <n v="0"/>
    <n v="0"/>
    <n v="0"/>
    <n v="0"/>
    <m/>
    <n v="67.3"/>
  </r>
  <r>
    <s v="USR-100731"/>
    <d v="2025-04-01T00:00:00"/>
    <x v="1"/>
    <x v="2"/>
    <x v="1"/>
    <x v="2"/>
    <x v="0"/>
    <n v="1"/>
    <n v="0"/>
    <n v="0"/>
    <n v="0"/>
    <n v="0"/>
    <n v="0"/>
    <n v="2"/>
    <n v="1"/>
    <n v="0"/>
    <m/>
    <n v="52.9"/>
  </r>
  <r>
    <s v="USR-100732"/>
    <d v="2025-01-29T00:00:00"/>
    <x v="1"/>
    <x v="0"/>
    <x v="1"/>
    <x v="3"/>
    <x v="1"/>
    <n v="1"/>
    <n v="1"/>
    <n v="1"/>
    <n v="1"/>
    <n v="442.37"/>
    <n v="442.37"/>
    <n v="1"/>
    <n v="1"/>
    <n v="0"/>
    <n v="4"/>
    <n v="69.900000000000006"/>
  </r>
  <r>
    <s v="USR-100733"/>
    <d v="2025-05-18T00:00:00"/>
    <x v="1"/>
    <x v="0"/>
    <x v="1"/>
    <x v="3"/>
    <x v="0"/>
    <n v="1"/>
    <n v="1"/>
    <n v="1"/>
    <n v="0"/>
    <n v="0"/>
    <n v="0"/>
    <n v="0"/>
    <n v="0"/>
    <n v="0"/>
    <m/>
    <n v="78.900000000000006"/>
  </r>
  <r>
    <s v="USR-100734"/>
    <d v="2025-04-15T00:00:00"/>
    <x v="1"/>
    <x v="2"/>
    <x v="0"/>
    <x v="4"/>
    <x v="2"/>
    <n v="1"/>
    <n v="1"/>
    <n v="0"/>
    <n v="0"/>
    <n v="0"/>
    <n v="0"/>
    <n v="0"/>
    <n v="0"/>
    <n v="0"/>
    <m/>
    <n v="83.3"/>
  </r>
  <r>
    <s v="USR-100735"/>
    <d v="2025-03-28T00:00:00"/>
    <x v="1"/>
    <x v="2"/>
    <x v="0"/>
    <x v="0"/>
    <x v="1"/>
    <n v="1"/>
    <n v="0"/>
    <n v="0"/>
    <n v="0"/>
    <n v="0"/>
    <n v="0"/>
    <n v="1"/>
    <n v="1"/>
    <n v="0"/>
    <m/>
    <n v="24.5"/>
  </r>
  <r>
    <s v="USR-100736"/>
    <d v="2025-04-01T00:00:00"/>
    <x v="1"/>
    <x v="1"/>
    <x v="1"/>
    <x v="2"/>
    <x v="0"/>
    <n v="1"/>
    <n v="1"/>
    <n v="0"/>
    <n v="0"/>
    <n v="0"/>
    <n v="0"/>
    <n v="1"/>
    <n v="1"/>
    <n v="0"/>
    <m/>
    <n v="56.9"/>
  </r>
  <r>
    <s v="USR-100737"/>
    <d v="2025-02-11T00:00:00"/>
    <x v="1"/>
    <x v="1"/>
    <x v="1"/>
    <x v="4"/>
    <x v="0"/>
    <n v="1"/>
    <n v="0"/>
    <n v="0"/>
    <n v="0"/>
    <n v="0"/>
    <n v="0"/>
    <n v="0"/>
    <n v="0"/>
    <n v="0"/>
    <m/>
    <n v="69.900000000000006"/>
  </r>
  <r>
    <s v="USR-100738"/>
    <d v="2025-03-04T00:00:00"/>
    <x v="1"/>
    <x v="3"/>
    <x v="1"/>
    <x v="1"/>
    <x v="1"/>
    <n v="1"/>
    <n v="1"/>
    <n v="1"/>
    <n v="0"/>
    <n v="0"/>
    <n v="0"/>
    <n v="0"/>
    <n v="0"/>
    <n v="0"/>
    <m/>
    <n v="81.5"/>
  </r>
  <r>
    <s v="USR-100739"/>
    <d v="2025-01-21T00:00:00"/>
    <x v="1"/>
    <x v="0"/>
    <x v="2"/>
    <x v="4"/>
    <x v="0"/>
    <n v="0"/>
    <n v="0"/>
    <n v="0"/>
    <n v="0"/>
    <n v="0"/>
    <n v="0"/>
    <n v="2"/>
    <n v="1"/>
    <n v="0"/>
    <m/>
    <n v="37.9"/>
  </r>
  <r>
    <s v="USR-100740"/>
    <d v="2025-02-14T00:00:00"/>
    <x v="1"/>
    <x v="0"/>
    <x v="1"/>
    <x v="3"/>
    <x v="1"/>
    <n v="0"/>
    <n v="0"/>
    <n v="0"/>
    <n v="0"/>
    <n v="0"/>
    <n v="0"/>
    <n v="1"/>
    <n v="1"/>
    <n v="0"/>
    <m/>
    <n v="61.7"/>
  </r>
  <r>
    <s v="USR-100741"/>
    <d v="2025-03-30T00:00:00"/>
    <x v="1"/>
    <x v="0"/>
    <x v="0"/>
    <x v="5"/>
    <x v="2"/>
    <n v="1"/>
    <n v="0"/>
    <n v="0"/>
    <n v="0"/>
    <n v="0"/>
    <n v="0"/>
    <n v="2"/>
    <n v="1"/>
    <n v="0"/>
    <m/>
    <n v="53.2"/>
  </r>
  <r>
    <s v="USR-100742"/>
    <d v="2025-01-08T00:00:00"/>
    <x v="1"/>
    <x v="0"/>
    <x v="1"/>
    <x v="3"/>
    <x v="1"/>
    <n v="0"/>
    <n v="0"/>
    <n v="0"/>
    <n v="0"/>
    <n v="0"/>
    <n v="0"/>
    <n v="0"/>
    <n v="0"/>
    <n v="0"/>
    <m/>
    <n v="61.9"/>
  </r>
  <r>
    <s v="USR-100743"/>
    <d v="2025-02-07T00:00:00"/>
    <x v="1"/>
    <x v="0"/>
    <x v="1"/>
    <x v="4"/>
    <x v="1"/>
    <n v="1"/>
    <n v="1"/>
    <n v="1"/>
    <n v="0"/>
    <n v="0"/>
    <n v="0"/>
    <n v="0"/>
    <n v="0"/>
    <n v="0"/>
    <m/>
    <n v="68.900000000000006"/>
  </r>
  <r>
    <s v="USR-100744"/>
    <d v="2025-02-01T00:00:00"/>
    <x v="1"/>
    <x v="0"/>
    <x v="2"/>
    <x v="2"/>
    <x v="0"/>
    <n v="0"/>
    <n v="0"/>
    <n v="0"/>
    <n v="0"/>
    <n v="0"/>
    <n v="0"/>
    <n v="0"/>
    <n v="0"/>
    <n v="0"/>
    <m/>
    <n v="66.3"/>
  </r>
  <r>
    <s v="USR-100745"/>
    <d v="2025-01-04T00:00:00"/>
    <x v="1"/>
    <x v="2"/>
    <x v="1"/>
    <x v="0"/>
    <x v="1"/>
    <n v="1"/>
    <n v="1"/>
    <n v="1"/>
    <n v="0"/>
    <n v="0"/>
    <n v="0"/>
    <n v="0"/>
    <n v="0"/>
    <n v="0"/>
    <m/>
    <n v="54.6"/>
  </r>
  <r>
    <s v="USR-100746"/>
    <d v="2025-05-16T00:00:00"/>
    <x v="1"/>
    <x v="3"/>
    <x v="0"/>
    <x v="3"/>
    <x v="1"/>
    <n v="0"/>
    <n v="0"/>
    <n v="0"/>
    <n v="0"/>
    <n v="0"/>
    <n v="0"/>
    <n v="0"/>
    <n v="0"/>
    <n v="0"/>
    <m/>
    <n v="53.8"/>
  </r>
  <r>
    <s v="USR-100747"/>
    <d v="2025-02-28T00:00:00"/>
    <x v="1"/>
    <x v="1"/>
    <x v="1"/>
    <x v="3"/>
    <x v="1"/>
    <n v="1"/>
    <n v="0"/>
    <n v="0"/>
    <n v="0"/>
    <n v="0"/>
    <n v="0"/>
    <n v="0"/>
    <n v="0"/>
    <n v="0"/>
    <m/>
    <n v="59.5"/>
  </r>
  <r>
    <s v="USR-100748"/>
    <d v="2025-04-12T00:00:00"/>
    <x v="1"/>
    <x v="0"/>
    <x v="1"/>
    <x v="3"/>
    <x v="1"/>
    <n v="1"/>
    <n v="0"/>
    <n v="0"/>
    <n v="0"/>
    <n v="0"/>
    <n v="0"/>
    <n v="0"/>
    <n v="0"/>
    <n v="0"/>
    <m/>
    <n v="52.6"/>
  </r>
  <r>
    <s v="USR-100749"/>
    <d v="2025-03-23T00:00:00"/>
    <x v="1"/>
    <x v="3"/>
    <x v="0"/>
    <x v="1"/>
    <x v="1"/>
    <n v="0"/>
    <n v="0"/>
    <n v="0"/>
    <n v="0"/>
    <n v="0"/>
    <n v="0"/>
    <n v="0"/>
    <n v="0"/>
    <n v="0"/>
    <m/>
    <n v="49"/>
  </r>
  <r>
    <s v="USR-100750"/>
    <d v="2025-05-29T00:00:00"/>
    <x v="1"/>
    <x v="0"/>
    <x v="2"/>
    <x v="1"/>
    <x v="1"/>
    <n v="1"/>
    <n v="0"/>
    <n v="0"/>
    <n v="0"/>
    <n v="0"/>
    <n v="0"/>
    <n v="0"/>
    <n v="0"/>
    <n v="0"/>
    <m/>
    <n v="59.3"/>
  </r>
  <r>
    <s v="USR-100751"/>
    <d v="2025-05-21T00:00:00"/>
    <x v="1"/>
    <x v="3"/>
    <x v="0"/>
    <x v="1"/>
    <x v="0"/>
    <n v="0"/>
    <n v="0"/>
    <n v="0"/>
    <n v="0"/>
    <n v="0"/>
    <n v="0"/>
    <n v="0"/>
    <n v="0"/>
    <n v="0"/>
    <m/>
    <n v="67.2"/>
  </r>
  <r>
    <s v="USR-100752"/>
    <d v="2025-01-05T00:00:00"/>
    <x v="1"/>
    <x v="3"/>
    <x v="1"/>
    <x v="3"/>
    <x v="2"/>
    <n v="0"/>
    <n v="0"/>
    <n v="0"/>
    <n v="0"/>
    <n v="0"/>
    <n v="0"/>
    <n v="0"/>
    <n v="0"/>
    <n v="0"/>
    <m/>
    <n v="73.5"/>
  </r>
  <r>
    <s v="USR-100753"/>
    <d v="2025-03-19T00:00:00"/>
    <x v="1"/>
    <x v="2"/>
    <x v="2"/>
    <x v="1"/>
    <x v="1"/>
    <n v="1"/>
    <n v="0"/>
    <n v="0"/>
    <n v="0"/>
    <n v="0"/>
    <n v="0"/>
    <n v="0"/>
    <n v="0"/>
    <n v="0"/>
    <m/>
    <n v="61.2"/>
  </r>
  <r>
    <s v="USR-100754"/>
    <d v="2025-04-24T00:00:00"/>
    <x v="1"/>
    <x v="2"/>
    <x v="1"/>
    <x v="1"/>
    <x v="1"/>
    <n v="1"/>
    <n v="0"/>
    <n v="0"/>
    <n v="0"/>
    <n v="0"/>
    <n v="0"/>
    <n v="1"/>
    <n v="1"/>
    <n v="0"/>
    <m/>
    <n v="56.4"/>
  </r>
  <r>
    <s v="USR-100755"/>
    <d v="2025-03-10T00:00:00"/>
    <x v="1"/>
    <x v="0"/>
    <x v="2"/>
    <x v="1"/>
    <x v="1"/>
    <n v="0"/>
    <n v="0"/>
    <n v="0"/>
    <n v="0"/>
    <n v="0"/>
    <n v="0"/>
    <n v="3"/>
    <n v="1"/>
    <n v="0"/>
    <m/>
    <n v="72.599999999999994"/>
  </r>
  <r>
    <s v="USR-100756"/>
    <d v="2025-02-22T00:00:00"/>
    <x v="1"/>
    <x v="3"/>
    <x v="2"/>
    <x v="3"/>
    <x v="0"/>
    <n v="1"/>
    <n v="0"/>
    <n v="0"/>
    <n v="0"/>
    <n v="0"/>
    <n v="0"/>
    <n v="0"/>
    <n v="0"/>
    <n v="0"/>
    <m/>
    <n v="61.7"/>
  </r>
  <r>
    <s v="USR-100757"/>
    <d v="2025-05-17T00:00:00"/>
    <x v="1"/>
    <x v="2"/>
    <x v="1"/>
    <x v="4"/>
    <x v="1"/>
    <n v="0"/>
    <n v="0"/>
    <n v="0"/>
    <n v="0"/>
    <n v="0"/>
    <n v="0"/>
    <n v="1"/>
    <n v="1"/>
    <n v="0"/>
    <m/>
    <n v="66.900000000000006"/>
  </r>
  <r>
    <s v="USR-100758"/>
    <d v="2025-05-09T00:00:00"/>
    <x v="1"/>
    <x v="2"/>
    <x v="2"/>
    <x v="3"/>
    <x v="2"/>
    <n v="1"/>
    <n v="1"/>
    <n v="1"/>
    <n v="1"/>
    <n v="1506.24"/>
    <n v="1496.19"/>
    <n v="1"/>
    <n v="1"/>
    <n v="0"/>
    <n v="7"/>
    <n v="64.900000000000006"/>
  </r>
  <r>
    <s v="USR-100759"/>
    <d v="2025-04-26T00:00:00"/>
    <x v="1"/>
    <x v="2"/>
    <x v="2"/>
    <x v="1"/>
    <x v="2"/>
    <n v="1"/>
    <n v="0"/>
    <n v="0"/>
    <n v="0"/>
    <n v="0"/>
    <n v="0"/>
    <n v="0"/>
    <n v="0"/>
    <n v="0"/>
    <m/>
    <n v="57.5"/>
  </r>
  <r>
    <s v="USR-100760"/>
    <d v="2025-03-15T00:00:00"/>
    <x v="1"/>
    <x v="1"/>
    <x v="0"/>
    <x v="4"/>
    <x v="1"/>
    <n v="1"/>
    <n v="1"/>
    <n v="1"/>
    <n v="0"/>
    <n v="0"/>
    <n v="0"/>
    <n v="0"/>
    <n v="0"/>
    <n v="0"/>
    <m/>
    <n v="76.3"/>
  </r>
  <r>
    <s v="USR-100761"/>
    <d v="2025-04-03T00:00:00"/>
    <x v="1"/>
    <x v="0"/>
    <x v="1"/>
    <x v="2"/>
    <x v="1"/>
    <n v="0"/>
    <n v="0"/>
    <n v="0"/>
    <n v="0"/>
    <n v="0"/>
    <n v="0"/>
    <n v="0"/>
    <n v="0"/>
    <n v="0"/>
    <m/>
    <n v="47.5"/>
  </r>
  <r>
    <s v="USR-100762"/>
    <d v="2025-03-26T00:00:00"/>
    <x v="1"/>
    <x v="3"/>
    <x v="1"/>
    <x v="2"/>
    <x v="1"/>
    <n v="0"/>
    <n v="0"/>
    <n v="0"/>
    <n v="0"/>
    <n v="0"/>
    <n v="0"/>
    <n v="0"/>
    <n v="0"/>
    <n v="0"/>
    <m/>
    <m/>
  </r>
  <r>
    <s v="USR-100763"/>
    <d v="2025-02-05T00:00:00"/>
    <x v="1"/>
    <x v="1"/>
    <x v="0"/>
    <x v="1"/>
    <x v="0"/>
    <n v="1"/>
    <n v="1"/>
    <n v="0"/>
    <n v="0"/>
    <n v="0"/>
    <n v="0"/>
    <n v="2"/>
    <n v="1"/>
    <n v="0"/>
    <m/>
    <n v="71.599999999999994"/>
  </r>
  <r>
    <s v="USR-100764"/>
    <d v="2025-05-08T00:00:00"/>
    <x v="1"/>
    <x v="3"/>
    <x v="1"/>
    <x v="4"/>
    <x v="0"/>
    <n v="1"/>
    <n v="1"/>
    <n v="0"/>
    <n v="0"/>
    <n v="0"/>
    <n v="0"/>
    <n v="0"/>
    <n v="0"/>
    <n v="0"/>
    <m/>
    <n v="55.8"/>
  </r>
  <r>
    <s v="USR-100765"/>
    <d v="2025-03-25T00:00:00"/>
    <x v="1"/>
    <x v="3"/>
    <x v="0"/>
    <x v="1"/>
    <x v="0"/>
    <n v="0"/>
    <n v="0"/>
    <n v="0"/>
    <n v="0"/>
    <n v="0"/>
    <n v="0"/>
    <n v="1"/>
    <n v="1"/>
    <n v="0"/>
    <m/>
    <n v="60.1"/>
  </r>
  <r>
    <s v="USR-100766"/>
    <d v="2025-01-14T00:00:00"/>
    <x v="1"/>
    <x v="1"/>
    <x v="3"/>
    <x v="0"/>
    <x v="0"/>
    <n v="1"/>
    <n v="1"/>
    <n v="1"/>
    <n v="0"/>
    <n v="0"/>
    <n v="0"/>
    <n v="1"/>
    <n v="1"/>
    <n v="0"/>
    <m/>
    <n v="59.3"/>
  </r>
  <r>
    <s v="USR-100767"/>
    <d v="2025-03-26T00:00:00"/>
    <x v="1"/>
    <x v="0"/>
    <x v="1"/>
    <x v="1"/>
    <x v="1"/>
    <n v="1"/>
    <n v="1"/>
    <n v="0"/>
    <n v="0"/>
    <n v="0"/>
    <n v="0"/>
    <n v="2"/>
    <n v="1"/>
    <n v="0"/>
    <m/>
    <n v="49.3"/>
  </r>
  <r>
    <s v="USR-100768"/>
    <d v="2025-01-16T00:00:00"/>
    <x v="1"/>
    <x v="2"/>
    <x v="1"/>
    <x v="3"/>
    <x v="1"/>
    <n v="1"/>
    <n v="0"/>
    <n v="0"/>
    <n v="0"/>
    <n v="0"/>
    <n v="0"/>
    <n v="0"/>
    <n v="0"/>
    <n v="0"/>
    <m/>
    <n v="75"/>
  </r>
  <r>
    <s v="USR-100769"/>
    <d v="2025-01-04T00:00:00"/>
    <x v="1"/>
    <x v="2"/>
    <x v="1"/>
    <x v="4"/>
    <x v="1"/>
    <n v="1"/>
    <n v="0"/>
    <n v="0"/>
    <n v="0"/>
    <n v="0"/>
    <n v="0"/>
    <n v="0"/>
    <n v="0"/>
    <n v="0"/>
    <m/>
    <n v="70.2"/>
  </r>
  <r>
    <s v="USR-100770"/>
    <d v="2025-02-09T00:00:00"/>
    <x v="1"/>
    <x v="3"/>
    <x v="0"/>
    <x v="1"/>
    <x v="2"/>
    <n v="1"/>
    <n v="1"/>
    <n v="1"/>
    <n v="0"/>
    <n v="0"/>
    <n v="0"/>
    <n v="0"/>
    <n v="0"/>
    <n v="0"/>
    <m/>
    <n v="56.6"/>
  </r>
  <r>
    <s v="USR-100771"/>
    <d v="2025-03-05T00:00:00"/>
    <x v="1"/>
    <x v="2"/>
    <x v="0"/>
    <x v="1"/>
    <x v="1"/>
    <n v="1"/>
    <n v="0"/>
    <n v="0"/>
    <n v="0"/>
    <n v="0"/>
    <n v="0"/>
    <n v="0"/>
    <n v="0"/>
    <n v="0"/>
    <m/>
    <n v="65.400000000000006"/>
  </r>
  <r>
    <s v="USR-100772"/>
    <d v="2025-03-10T00:00:00"/>
    <x v="1"/>
    <x v="2"/>
    <x v="1"/>
    <x v="3"/>
    <x v="0"/>
    <n v="1"/>
    <n v="0"/>
    <n v="0"/>
    <n v="0"/>
    <n v="0"/>
    <n v="0"/>
    <n v="0"/>
    <n v="0"/>
    <n v="0"/>
    <m/>
    <n v="47.6"/>
  </r>
  <r>
    <s v="USR-100773"/>
    <d v="2025-02-27T00:00:00"/>
    <x v="1"/>
    <x v="2"/>
    <x v="0"/>
    <x v="2"/>
    <x v="1"/>
    <n v="1"/>
    <n v="0"/>
    <n v="0"/>
    <n v="0"/>
    <n v="0"/>
    <n v="0"/>
    <n v="0"/>
    <n v="0"/>
    <n v="0"/>
    <m/>
    <n v="56.7"/>
  </r>
  <r>
    <s v="USR-100774"/>
    <d v="2025-03-10T00:00:00"/>
    <x v="1"/>
    <x v="0"/>
    <x v="0"/>
    <x v="3"/>
    <x v="0"/>
    <n v="1"/>
    <n v="1"/>
    <n v="0"/>
    <n v="0"/>
    <n v="0"/>
    <n v="0"/>
    <n v="0"/>
    <n v="0"/>
    <n v="0"/>
    <m/>
    <n v="71.400000000000006"/>
  </r>
  <r>
    <s v="USR-100775"/>
    <d v="2025-04-23T00:00:00"/>
    <x v="1"/>
    <x v="1"/>
    <x v="1"/>
    <x v="4"/>
    <x v="1"/>
    <n v="0"/>
    <n v="0"/>
    <n v="0"/>
    <n v="0"/>
    <n v="0"/>
    <n v="0"/>
    <n v="2"/>
    <n v="1"/>
    <n v="0"/>
    <m/>
    <n v="60.5"/>
  </r>
  <r>
    <s v="USR-100776"/>
    <d v="2025-04-12T00:00:00"/>
    <x v="1"/>
    <x v="0"/>
    <x v="0"/>
    <x v="2"/>
    <x v="1"/>
    <n v="1"/>
    <n v="0"/>
    <n v="0"/>
    <n v="0"/>
    <n v="0"/>
    <n v="0"/>
    <n v="0"/>
    <n v="0"/>
    <n v="0"/>
    <m/>
    <n v="46.7"/>
  </r>
  <r>
    <s v="USR-100777"/>
    <d v="2025-01-26T00:00:00"/>
    <x v="1"/>
    <x v="2"/>
    <x v="0"/>
    <x v="3"/>
    <x v="1"/>
    <n v="0"/>
    <n v="0"/>
    <n v="0"/>
    <n v="0"/>
    <n v="0"/>
    <n v="0"/>
    <n v="0"/>
    <n v="0"/>
    <n v="0"/>
    <m/>
    <n v="61"/>
  </r>
  <r>
    <s v="USR-100778"/>
    <d v="2025-05-24T00:00:00"/>
    <x v="1"/>
    <x v="1"/>
    <x v="2"/>
    <x v="2"/>
    <x v="1"/>
    <n v="0"/>
    <n v="0"/>
    <n v="0"/>
    <n v="0"/>
    <n v="0"/>
    <n v="0"/>
    <n v="0"/>
    <n v="0"/>
    <n v="0"/>
    <m/>
    <n v="60.9"/>
  </r>
  <r>
    <s v="USR-100779"/>
    <d v="2025-01-08T00:00:00"/>
    <x v="1"/>
    <x v="3"/>
    <x v="1"/>
    <x v="1"/>
    <x v="1"/>
    <n v="1"/>
    <n v="0"/>
    <n v="0"/>
    <n v="0"/>
    <n v="0"/>
    <n v="0"/>
    <n v="0"/>
    <n v="0"/>
    <n v="0"/>
    <m/>
    <n v="67.099999999999994"/>
  </r>
  <r>
    <s v="USR-100780"/>
    <d v="2025-04-15T00:00:00"/>
    <x v="1"/>
    <x v="0"/>
    <x v="1"/>
    <x v="3"/>
    <x v="1"/>
    <n v="1"/>
    <n v="1"/>
    <n v="0"/>
    <n v="0"/>
    <n v="0"/>
    <n v="0"/>
    <n v="0"/>
    <n v="0"/>
    <n v="0"/>
    <m/>
    <n v="59.6"/>
  </r>
  <r>
    <s v="USR-100781"/>
    <d v="2025-01-15T00:00:00"/>
    <x v="1"/>
    <x v="3"/>
    <x v="0"/>
    <x v="2"/>
    <x v="1"/>
    <n v="1"/>
    <n v="0"/>
    <n v="0"/>
    <n v="0"/>
    <n v="0"/>
    <n v="0"/>
    <n v="0"/>
    <n v="0"/>
    <n v="0"/>
    <m/>
    <n v="83.8"/>
  </r>
  <r>
    <s v="USR-100782"/>
    <d v="2025-02-28T00:00:00"/>
    <x v="1"/>
    <x v="0"/>
    <x v="1"/>
    <x v="1"/>
    <x v="0"/>
    <n v="1"/>
    <n v="1"/>
    <n v="1"/>
    <n v="0"/>
    <n v="0"/>
    <n v="0"/>
    <n v="0"/>
    <n v="0"/>
    <n v="0"/>
    <m/>
    <n v="70.8"/>
  </r>
  <r>
    <s v="USR-100783"/>
    <d v="2025-01-01T00:00:00"/>
    <x v="1"/>
    <x v="0"/>
    <x v="2"/>
    <x v="1"/>
    <x v="0"/>
    <n v="0"/>
    <n v="0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x v="1"/>
    <n v="1"/>
    <n v="0"/>
    <n v="0"/>
    <n v="0"/>
    <n v="0"/>
    <n v="0"/>
    <n v="0"/>
    <n v="0"/>
    <n v="0"/>
    <m/>
    <n v="58"/>
  </r>
  <r>
    <s v="USR-100785"/>
    <d v="2025-02-19T00:00:00"/>
    <x v="1"/>
    <x v="0"/>
    <x v="1"/>
    <x v="0"/>
    <x v="0"/>
    <n v="1"/>
    <n v="1"/>
    <n v="0"/>
    <n v="0"/>
    <n v="0"/>
    <n v="0"/>
    <n v="0"/>
    <n v="0"/>
    <n v="0"/>
    <m/>
    <n v="80.3"/>
  </r>
  <r>
    <s v="USR-100786"/>
    <d v="2025-03-14T00:00:00"/>
    <x v="1"/>
    <x v="0"/>
    <x v="0"/>
    <x v="1"/>
    <x v="1"/>
    <n v="1"/>
    <n v="0"/>
    <n v="0"/>
    <n v="0"/>
    <n v="0"/>
    <n v="0"/>
    <n v="0"/>
    <n v="0"/>
    <n v="0"/>
    <m/>
    <n v="55.7"/>
  </r>
  <r>
    <s v="USR-100787"/>
    <d v="2025-04-21T00:00:00"/>
    <x v="1"/>
    <x v="0"/>
    <x v="1"/>
    <x v="1"/>
    <x v="1"/>
    <n v="1"/>
    <n v="1"/>
    <n v="0"/>
    <n v="0"/>
    <n v="0"/>
    <n v="0"/>
    <n v="0"/>
    <n v="0"/>
    <n v="0"/>
    <m/>
    <n v="84.9"/>
  </r>
  <r>
    <s v="USR-100788"/>
    <d v="2025-02-14T00:00:00"/>
    <x v="1"/>
    <x v="0"/>
    <x v="1"/>
    <x v="1"/>
    <x v="1"/>
    <n v="1"/>
    <n v="0"/>
    <n v="0"/>
    <n v="0"/>
    <n v="0"/>
    <n v="0"/>
    <n v="0"/>
    <n v="0"/>
    <n v="0"/>
    <m/>
    <n v="63.3"/>
  </r>
  <r>
    <s v="USR-100789"/>
    <d v="2025-05-30T00:00:00"/>
    <x v="1"/>
    <x v="1"/>
    <x v="1"/>
    <x v="1"/>
    <x v="1"/>
    <n v="0"/>
    <n v="0"/>
    <n v="0"/>
    <n v="0"/>
    <n v="0"/>
    <n v="0"/>
    <n v="0"/>
    <n v="0"/>
    <n v="0"/>
    <m/>
    <n v="53.1"/>
  </r>
  <r>
    <s v="USR-100790"/>
    <d v="2025-01-20T00:00:00"/>
    <x v="1"/>
    <x v="1"/>
    <x v="1"/>
    <x v="1"/>
    <x v="1"/>
    <n v="0"/>
    <n v="0"/>
    <n v="0"/>
    <n v="0"/>
    <n v="0"/>
    <n v="0"/>
    <n v="0"/>
    <n v="0"/>
    <n v="0"/>
    <m/>
    <n v="66"/>
  </r>
  <r>
    <s v="USR-100791"/>
    <d v="2025-03-17T00:00:00"/>
    <x v="1"/>
    <x v="1"/>
    <x v="1"/>
    <x v="4"/>
    <x v="2"/>
    <n v="0"/>
    <n v="0"/>
    <n v="0"/>
    <n v="0"/>
    <n v="0"/>
    <n v="0"/>
    <n v="0"/>
    <n v="0"/>
    <n v="0"/>
    <m/>
    <n v="54.7"/>
  </r>
  <r>
    <s v="USR-100792"/>
    <d v="2025-03-04T00:00:00"/>
    <x v="1"/>
    <x v="1"/>
    <x v="1"/>
    <x v="4"/>
    <x v="1"/>
    <n v="1"/>
    <n v="1"/>
    <n v="0"/>
    <n v="0"/>
    <n v="0"/>
    <n v="0"/>
    <n v="1"/>
    <n v="1"/>
    <n v="0"/>
    <m/>
    <n v="41.2"/>
  </r>
  <r>
    <s v="USR-100793"/>
    <d v="2025-02-22T00:00:00"/>
    <x v="1"/>
    <x v="3"/>
    <x v="1"/>
    <x v="1"/>
    <x v="2"/>
    <n v="0"/>
    <n v="0"/>
    <n v="0"/>
    <n v="0"/>
    <n v="0"/>
    <n v="0"/>
    <n v="0"/>
    <n v="0"/>
    <n v="0"/>
    <m/>
    <n v="66.7"/>
  </r>
  <r>
    <s v="USR-100794"/>
    <d v="2025-05-02T00:00:00"/>
    <x v="1"/>
    <x v="0"/>
    <x v="1"/>
    <x v="2"/>
    <x v="2"/>
    <n v="0"/>
    <n v="0"/>
    <n v="0"/>
    <n v="0"/>
    <n v="0"/>
    <n v="0"/>
    <n v="0"/>
    <n v="0"/>
    <n v="0"/>
    <m/>
    <n v="39.4"/>
  </r>
  <r>
    <s v="USR-100795"/>
    <d v="2025-03-13T00:00:00"/>
    <x v="1"/>
    <x v="1"/>
    <x v="0"/>
    <x v="1"/>
    <x v="2"/>
    <n v="0"/>
    <n v="0"/>
    <n v="0"/>
    <n v="0"/>
    <n v="0"/>
    <n v="0"/>
    <n v="3"/>
    <n v="1"/>
    <n v="0"/>
    <m/>
    <n v="67"/>
  </r>
  <r>
    <s v="USR-100796"/>
    <d v="2025-05-31T00:00:00"/>
    <x v="1"/>
    <x v="3"/>
    <x v="1"/>
    <x v="1"/>
    <x v="0"/>
    <n v="1"/>
    <n v="0"/>
    <n v="0"/>
    <n v="0"/>
    <n v="0"/>
    <n v="0"/>
    <n v="0"/>
    <n v="0"/>
    <n v="0"/>
    <m/>
    <n v="50.4"/>
  </r>
  <r>
    <s v="USR-100797"/>
    <d v="2025-03-07T00:00:00"/>
    <x v="1"/>
    <x v="1"/>
    <x v="0"/>
    <x v="4"/>
    <x v="1"/>
    <n v="1"/>
    <n v="0"/>
    <n v="0"/>
    <n v="0"/>
    <n v="0"/>
    <n v="0"/>
    <n v="0"/>
    <n v="0"/>
    <n v="0"/>
    <m/>
    <n v="53.8"/>
  </r>
  <r>
    <s v="USR-100798"/>
    <d v="2025-02-22T00:00:00"/>
    <x v="1"/>
    <x v="1"/>
    <x v="1"/>
    <x v="2"/>
    <x v="0"/>
    <n v="0"/>
    <n v="0"/>
    <n v="0"/>
    <n v="0"/>
    <n v="0"/>
    <n v="0"/>
    <n v="1"/>
    <n v="1"/>
    <n v="0"/>
    <m/>
    <n v="82.7"/>
  </r>
  <r>
    <s v="USR-100799"/>
    <d v="2025-01-05T00:00:00"/>
    <x v="1"/>
    <x v="1"/>
    <x v="0"/>
    <x v="2"/>
    <x v="1"/>
    <n v="1"/>
    <n v="1"/>
    <n v="1"/>
    <n v="0"/>
    <n v="0"/>
    <n v="0"/>
    <n v="0"/>
    <n v="0"/>
    <n v="0"/>
    <m/>
    <n v="63.9"/>
  </r>
  <r>
    <s v="USR-100800"/>
    <d v="2025-01-21T00:00:00"/>
    <x v="1"/>
    <x v="1"/>
    <x v="1"/>
    <x v="3"/>
    <x v="1"/>
    <n v="1"/>
    <n v="0"/>
    <n v="0"/>
    <n v="0"/>
    <n v="0"/>
    <n v="0"/>
    <n v="0"/>
    <n v="0"/>
    <n v="0"/>
    <m/>
    <n v="61.9"/>
  </r>
  <r>
    <s v="USR-100801"/>
    <d v="2025-01-25T00:00:00"/>
    <x v="1"/>
    <x v="0"/>
    <x v="0"/>
    <x v="4"/>
    <x v="1"/>
    <n v="1"/>
    <n v="1"/>
    <n v="1"/>
    <n v="0"/>
    <n v="0"/>
    <n v="0"/>
    <n v="0"/>
    <n v="0"/>
    <n v="0"/>
    <m/>
    <n v="75"/>
  </r>
  <r>
    <s v="USR-100802"/>
    <d v="2025-04-04T00:00:00"/>
    <x v="1"/>
    <x v="1"/>
    <x v="1"/>
    <x v="2"/>
    <x v="0"/>
    <n v="1"/>
    <n v="1"/>
    <n v="1"/>
    <n v="0"/>
    <n v="0"/>
    <n v="0"/>
    <n v="0"/>
    <n v="0"/>
    <n v="0"/>
    <m/>
    <n v="43"/>
  </r>
  <r>
    <s v="USR-100803"/>
    <d v="2025-03-25T00:00:00"/>
    <x v="1"/>
    <x v="0"/>
    <x v="0"/>
    <x v="4"/>
    <x v="2"/>
    <n v="0"/>
    <n v="0"/>
    <n v="0"/>
    <n v="0"/>
    <n v="0"/>
    <n v="0"/>
    <n v="0"/>
    <n v="0"/>
    <n v="0"/>
    <m/>
    <n v="54.3"/>
  </r>
  <r>
    <s v="USR-100804"/>
    <d v="2025-03-19T00:00:00"/>
    <x v="1"/>
    <x v="1"/>
    <x v="1"/>
    <x v="4"/>
    <x v="1"/>
    <n v="0"/>
    <n v="0"/>
    <n v="0"/>
    <n v="0"/>
    <n v="0"/>
    <n v="0"/>
    <n v="2"/>
    <n v="1"/>
    <n v="0"/>
    <m/>
    <n v="44.3"/>
  </r>
  <r>
    <s v="USR-100805"/>
    <d v="2025-04-24T00:00:00"/>
    <x v="1"/>
    <x v="1"/>
    <x v="0"/>
    <x v="1"/>
    <x v="1"/>
    <n v="1"/>
    <n v="1"/>
    <n v="1"/>
    <n v="1"/>
    <n v="402.88"/>
    <n v="402.88"/>
    <n v="0"/>
    <n v="0"/>
    <n v="0"/>
    <n v="12"/>
    <n v="76"/>
  </r>
  <r>
    <s v="USR-100806"/>
    <d v="2025-04-04T00:00:00"/>
    <x v="1"/>
    <x v="3"/>
    <x v="2"/>
    <x v="1"/>
    <x v="1"/>
    <n v="1"/>
    <n v="0"/>
    <n v="0"/>
    <n v="0"/>
    <n v="0"/>
    <n v="0"/>
    <n v="2"/>
    <n v="1"/>
    <n v="0"/>
    <m/>
    <n v="65.3"/>
  </r>
  <r>
    <s v="USR-100807"/>
    <d v="2025-03-28T00:00:00"/>
    <x v="1"/>
    <x v="3"/>
    <x v="0"/>
    <x v="2"/>
    <x v="2"/>
    <n v="1"/>
    <n v="0"/>
    <n v="0"/>
    <n v="0"/>
    <n v="0"/>
    <n v="0"/>
    <n v="0"/>
    <n v="0"/>
    <n v="0"/>
    <m/>
    <n v="71.2"/>
  </r>
  <r>
    <s v="USR-100808"/>
    <d v="2025-05-15T00:00:00"/>
    <x v="1"/>
    <x v="3"/>
    <x v="2"/>
    <x v="2"/>
    <x v="1"/>
    <n v="1"/>
    <n v="0"/>
    <n v="0"/>
    <n v="0"/>
    <n v="0"/>
    <n v="0"/>
    <n v="0"/>
    <n v="0"/>
    <n v="0"/>
    <m/>
    <n v="77.900000000000006"/>
  </r>
  <r>
    <s v="USR-100809"/>
    <d v="2025-03-13T00:00:00"/>
    <x v="1"/>
    <x v="1"/>
    <x v="1"/>
    <x v="2"/>
    <x v="1"/>
    <n v="0"/>
    <n v="0"/>
    <n v="0"/>
    <n v="0"/>
    <n v="0"/>
    <n v="0"/>
    <n v="0"/>
    <n v="0"/>
    <n v="0"/>
    <m/>
    <n v="48.6"/>
  </r>
  <r>
    <s v="USR-100810"/>
    <d v="2025-03-26T00:00:00"/>
    <x v="1"/>
    <x v="0"/>
    <x v="1"/>
    <x v="4"/>
    <x v="2"/>
    <n v="1"/>
    <n v="0"/>
    <n v="0"/>
    <n v="0"/>
    <n v="0"/>
    <n v="0"/>
    <n v="0"/>
    <n v="0"/>
    <n v="0"/>
    <m/>
    <n v="61.9"/>
  </r>
  <r>
    <s v="USR-100811"/>
    <d v="2025-01-09T00:00:00"/>
    <x v="1"/>
    <x v="0"/>
    <x v="1"/>
    <x v="4"/>
    <x v="0"/>
    <n v="0"/>
    <n v="0"/>
    <n v="0"/>
    <n v="0"/>
    <n v="0"/>
    <n v="0"/>
    <n v="1"/>
    <n v="1"/>
    <n v="0"/>
    <m/>
    <n v="58.7"/>
  </r>
  <r>
    <s v="USR-100812"/>
    <d v="2025-05-06T00:00:00"/>
    <x v="1"/>
    <x v="3"/>
    <x v="0"/>
    <x v="2"/>
    <x v="1"/>
    <n v="1"/>
    <n v="0"/>
    <n v="0"/>
    <n v="0"/>
    <n v="0"/>
    <n v="0"/>
    <n v="0"/>
    <n v="0"/>
    <n v="0"/>
    <m/>
    <n v="69.599999999999994"/>
  </r>
  <r>
    <s v="USR-100813"/>
    <d v="2025-02-17T00:00:00"/>
    <x v="1"/>
    <x v="3"/>
    <x v="1"/>
    <x v="1"/>
    <x v="1"/>
    <n v="1"/>
    <n v="0"/>
    <n v="0"/>
    <n v="0"/>
    <n v="0"/>
    <n v="0"/>
    <n v="0"/>
    <n v="0"/>
    <n v="0"/>
    <m/>
    <n v="51.5"/>
  </r>
  <r>
    <s v="USR-100814"/>
    <d v="2025-04-05T00:00:00"/>
    <x v="1"/>
    <x v="2"/>
    <x v="1"/>
    <x v="2"/>
    <x v="1"/>
    <n v="1"/>
    <n v="1"/>
    <n v="1"/>
    <n v="1"/>
    <n v="277.69"/>
    <n v="277.69"/>
    <n v="3"/>
    <n v="1"/>
    <n v="0"/>
    <n v="8"/>
    <n v="46"/>
  </r>
  <r>
    <s v="USR-100815"/>
    <d v="2025-04-13T00:00:00"/>
    <x v="1"/>
    <x v="1"/>
    <x v="2"/>
    <x v="1"/>
    <x v="1"/>
    <n v="1"/>
    <n v="0"/>
    <n v="0"/>
    <n v="0"/>
    <n v="0"/>
    <n v="0"/>
    <n v="0"/>
    <n v="0"/>
    <n v="0"/>
    <m/>
    <n v="81.7"/>
  </r>
  <r>
    <s v="USR-100816"/>
    <d v="2025-05-20T00:00:00"/>
    <x v="1"/>
    <x v="2"/>
    <x v="0"/>
    <x v="3"/>
    <x v="1"/>
    <n v="1"/>
    <n v="0"/>
    <n v="0"/>
    <n v="0"/>
    <n v="0"/>
    <n v="0"/>
    <n v="0"/>
    <n v="0"/>
    <n v="0"/>
    <m/>
    <n v="48.3"/>
  </r>
  <r>
    <s v="USR-100817"/>
    <d v="2025-03-31T00:00:00"/>
    <x v="1"/>
    <x v="2"/>
    <x v="1"/>
    <x v="0"/>
    <x v="1"/>
    <n v="1"/>
    <n v="1"/>
    <n v="0"/>
    <n v="0"/>
    <n v="0"/>
    <n v="0"/>
    <n v="0"/>
    <n v="0"/>
    <n v="0"/>
    <m/>
    <n v="85.6"/>
  </r>
  <r>
    <s v="USR-100818"/>
    <d v="2025-04-03T00:00:00"/>
    <x v="1"/>
    <x v="1"/>
    <x v="2"/>
    <x v="2"/>
    <x v="0"/>
    <n v="1"/>
    <n v="0"/>
    <n v="0"/>
    <n v="0"/>
    <n v="0"/>
    <n v="0"/>
    <n v="0"/>
    <n v="0"/>
    <n v="0"/>
    <m/>
    <n v="53.8"/>
  </r>
  <r>
    <s v="USR-100819"/>
    <d v="2025-02-04T00:00:00"/>
    <x v="1"/>
    <x v="3"/>
    <x v="1"/>
    <x v="1"/>
    <x v="1"/>
    <n v="1"/>
    <n v="1"/>
    <n v="1"/>
    <n v="1"/>
    <n v="460.83"/>
    <n v="460.83"/>
    <n v="2"/>
    <n v="1"/>
    <n v="0"/>
    <n v="0"/>
    <n v="69.7"/>
  </r>
  <r>
    <s v="USR-100820"/>
    <d v="2025-05-19T00:00:00"/>
    <x v="1"/>
    <x v="2"/>
    <x v="1"/>
    <x v="1"/>
    <x v="1"/>
    <n v="1"/>
    <n v="0"/>
    <n v="0"/>
    <n v="0"/>
    <n v="0"/>
    <n v="0"/>
    <n v="0"/>
    <n v="0"/>
    <n v="0"/>
    <m/>
    <n v="74.8"/>
  </r>
  <r>
    <s v="USR-100821"/>
    <d v="2025-03-08T00:00:00"/>
    <x v="1"/>
    <x v="2"/>
    <x v="0"/>
    <x v="2"/>
    <x v="0"/>
    <n v="0"/>
    <n v="0"/>
    <n v="0"/>
    <n v="0"/>
    <n v="0"/>
    <n v="0"/>
    <n v="0"/>
    <n v="0"/>
    <n v="0"/>
    <m/>
    <n v="87.9"/>
  </r>
  <r>
    <s v="USR-100822"/>
    <d v="2025-05-10T00:00:00"/>
    <x v="1"/>
    <x v="0"/>
    <x v="1"/>
    <x v="4"/>
    <x v="0"/>
    <n v="1"/>
    <n v="0"/>
    <n v="0"/>
    <n v="0"/>
    <n v="0"/>
    <n v="0"/>
    <n v="1"/>
    <n v="1"/>
    <n v="0"/>
    <m/>
    <n v="49.1"/>
  </r>
  <r>
    <s v="USR-100823"/>
    <d v="2025-01-02T00:00:00"/>
    <x v="1"/>
    <x v="2"/>
    <x v="0"/>
    <x v="4"/>
    <x v="0"/>
    <n v="1"/>
    <n v="0"/>
    <n v="0"/>
    <n v="0"/>
    <n v="0"/>
    <n v="0"/>
    <n v="2"/>
    <n v="1"/>
    <n v="0"/>
    <m/>
    <n v="73"/>
  </r>
  <r>
    <s v="USR-100824"/>
    <d v="2025-01-17T00:00:00"/>
    <x v="1"/>
    <x v="1"/>
    <x v="1"/>
    <x v="1"/>
    <x v="0"/>
    <n v="0"/>
    <n v="0"/>
    <n v="0"/>
    <n v="0"/>
    <n v="0"/>
    <n v="0"/>
    <n v="0"/>
    <n v="0"/>
    <n v="0"/>
    <m/>
    <n v="79.5"/>
  </r>
  <r>
    <s v="USR-100825"/>
    <d v="2025-05-21T00:00:00"/>
    <x v="1"/>
    <x v="1"/>
    <x v="1"/>
    <x v="3"/>
    <x v="0"/>
    <n v="1"/>
    <n v="1"/>
    <n v="1"/>
    <n v="1"/>
    <n v="782.23"/>
    <n v="782.23"/>
    <n v="1"/>
    <n v="1"/>
    <n v="0"/>
    <n v="6"/>
    <n v="93.2"/>
  </r>
  <r>
    <s v="USR-100826"/>
    <d v="2025-05-25T00:00:00"/>
    <x v="1"/>
    <x v="2"/>
    <x v="0"/>
    <x v="3"/>
    <x v="1"/>
    <n v="1"/>
    <n v="0"/>
    <n v="0"/>
    <n v="0"/>
    <n v="0"/>
    <n v="0"/>
    <n v="3"/>
    <n v="1"/>
    <n v="0"/>
    <m/>
    <n v="77.5"/>
  </r>
  <r>
    <s v="USR-100827"/>
    <d v="2025-01-05T00:00:00"/>
    <x v="1"/>
    <x v="1"/>
    <x v="1"/>
    <x v="0"/>
    <x v="0"/>
    <n v="1"/>
    <n v="0"/>
    <n v="0"/>
    <n v="0"/>
    <n v="0"/>
    <n v="0"/>
    <n v="0"/>
    <n v="0"/>
    <n v="0"/>
    <m/>
    <n v="61"/>
  </r>
  <r>
    <s v="USR-100828"/>
    <d v="2025-02-24T00:00:00"/>
    <x v="1"/>
    <x v="3"/>
    <x v="0"/>
    <x v="1"/>
    <x v="1"/>
    <n v="1"/>
    <n v="1"/>
    <n v="0"/>
    <n v="0"/>
    <n v="0"/>
    <n v="0"/>
    <n v="0"/>
    <n v="0"/>
    <n v="0"/>
    <m/>
    <n v="64.900000000000006"/>
  </r>
  <r>
    <s v="USR-100829"/>
    <d v="2025-01-21T00:00:00"/>
    <x v="1"/>
    <x v="2"/>
    <x v="1"/>
    <x v="2"/>
    <x v="0"/>
    <n v="1"/>
    <n v="0"/>
    <n v="0"/>
    <n v="0"/>
    <n v="0"/>
    <n v="0"/>
    <n v="0"/>
    <n v="0"/>
    <n v="0"/>
    <m/>
    <n v="87.5"/>
  </r>
  <r>
    <s v="USR-100830"/>
    <d v="2025-04-24T00:00:00"/>
    <x v="1"/>
    <x v="0"/>
    <x v="1"/>
    <x v="1"/>
    <x v="0"/>
    <n v="1"/>
    <n v="1"/>
    <n v="1"/>
    <n v="1"/>
    <n v="1171.99"/>
    <n v="1171.99"/>
    <n v="0"/>
    <n v="0"/>
    <n v="0"/>
    <n v="5"/>
    <n v="80.599999999999994"/>
  </r>
  <r>
    <s v="USR-100831"/>
    <d v="2025-01-07T00:00:00"/>
    <x v="1"/>
    <x v="1"/>
    <x v="0"/>
    <x v="1"/>
    <x v="1"/>
    <n v="1"/>
    <n v="0"/>
    <n v="0"/>
    <n v="0"/>
    <n v="0"/>
    <n v="0"/>
    <n v="0"/>
    <n v="0"/>
    <n v="0"/>
    <m/>
    <n v="66.900000000000006"/>
  </r>
  <r>
    <s v="USR-100832"/>
    <d v="2025-05-31T00:00:00"/>
    <x v="1"/>
    <x v="3"/>
    <x v="2"/>
    <x v="1"/>
    <x v="0"/>
    <n v="1"/>
    <n v="1"/>
    <n v="1"/>
    <n v="0"/>
    <n v="0"/>
    <n v="0"/>
    <n v="0"/>
    <n v="0"/>
    <n v="0"/>
    <m/>
    <n v="58.8"/>
  </r>
  <r>
    <s v="USR-100833"/>
    <d v="2025-04-02T00:00:00"/>
    <x v="1"/>
    <x v="0"/>
    <x v="0"/>
    <x v="1"/>
    <x v="0"/>
    <n v="1"/>
    <n v="1"/>
    <n v="1"/>
    <n v="1"/>
    <n v="1010.4"/>
    <n v="1010.4"/>
    <n v="0"/>
    <n v="0"/>
    <n v="0"/>
    <n v="4"/>
    <n v="42.9"/>
  </r>
  <r>
    <s v="USR-100834"/>
    <d v="2025-04-21T00:00:00"/>
    <x v="1"/>
    <x v="2"/>
    <x v="1"/>
    <x v="1"/>
    <x v="1"/>
    <n v="1"/>
    <n v="1"/>
    <n v="1"/>
    <n v="0"/>
    <n v="0"/>
    <n v="0"/>
    <n v="1"/>
    <n v="1"/>
    <n v="0"/>
    <m/>
    <n v="60.2"/>
  </r>
  <r>
    <s v="USR-100835"/>
    <d v="2025-05-05T00:00:00"/>
    <x v="1"/>
    <x v="2"/>
    <x v="1"/>
    <x v="2"/>
    <x v="0"/>
    <n v="1"/>
    <n v="0"/>
    <n v="0"/>
    <n v="0"/>
    <n v="0"/>
    <n v="0"/>
    <n v="0"/>
    <n v="0"/>
    <n v="0"/>
    <m/>
    <n v="42.7"/>
  </r>
  <r>
    <s v="USR-100836"/>
    <d v="2025-01-06T00:00:00"/>
    <x v="1"/>
    <x v="0"/>
    <x v="0"/>
    <x v="4"/>
    <x v="1"/>
    <n v="1"/>
    <n v="1"/>
    <n v="1"/>
    <n v="1"/>
    <n v="431.27"/>
    <n v="431.27"/>
    <n v="0"/>
    <n v="0"/>
    <n v="0"/>
    <n v="7"/>
    <n v="60.8"/>
  </r>
  <r>
    <s v="USR-100837"/>
    <d v="2025-04-24T00:00:00"/>
    <x v="1"/>
    <x v="3"/>
    <x v="1"/>
    <x v="3"/>
    <x v="1"/>
    <n v="1"/>
    <n v="1"/>
    <n v="1"/>
    <n v="1"/>
    <n v="428.8"/>
    <n v="428.8"/>
    <n v="0"/>
    <n v="0"/>
    <n v="0"/>
    <n v="9"/>
    <n v="79.3"/>
  </r>
  <r>
    <s v="USR-100838"/>
    <d v="2025-04-21T00:00:00"/>
    <x v="1"/>
    <x v="3"/>
    <x v="1"/>
    <x v="1"/>
    <x v="0"/>
    <n v="1"/>
    <n v="0"/>
    <n v="0"/>
    <n v="0"/>
    <n v="0"/>
    <n v="0"/>
    <n v="1"/>
    <n v="1"/>
    <n v="0"/>
    <m/>
    <n v="88.6"/>
  </r>
  <r>
    <s v="USR-100839"/>
    <d v="2025-02-09T00:00:00"/>
    <x v="1"/>
    <x v="1"/>
    <x v="1"/>
    <x v="1"/>
    <x v="0"/>
    <n v="1"/>
    <n v="1"/>
    <n v="1"/>
    <n v="0"/>
    <n v="0"/>
    <n v="0"/>
    <n v="0"/>
    <n v="0"/>
    <n v="0"/>
    <m/>
    <n v="63.1"/>
  </r>
  <r>
    <s v="USR-100840"/>
    <d v="2025-01-09T00:00:00"/>
    <x v="1"/>
    <x v="2"/>
    <x v="1"/>
    <x v="1"/>
    <x v="2"/>
    <n v="1"/>
    <n v="0"/>
    <n v="0"/>
    <n v="0"/>
    <n v="0"/>
    <n v="0"/>
    <n v="0"/>
    <n v="0"/>
    <n v="0"/>
    <m/>
    <n v="39.700000000000003"/>
  </r>
  <r>
    <s v="USR-100841"/>
    <d v="2025-02-16T00:00:00"/>
    <x v="1"/>
    <x v="0"/>
    <x v="1"/>
    <x v="2"/>
    <x v="0"/>
    <n v="0"/>
    <n v="0"/>
    <n v="0"/>
    <n v="0"/>
    <n v="0"/>
    <n v="0"/>
    <n v="0"/>
    <n v="0"/>
    <n v="0"/>
    <m/>
    <n v="67.2"/>
  </r>
  <r>
    <s v="USR-100842"/>
    <d v="2025-02-21T00:00:00"/>
    <x v="1"/>
    <x v="3"/>
    <x v="1"/>
    <x v="1"/>
    <x v="1"/>
    <n v="1"/>
    <n v="1"/>
    <n v="1"/>
    <n v="0"/>
    <n v="0"/>
    <n v="0"/>
    <n v="0"/>
    <n v="0"/>
    <n v="0"/>
    <m/>
    <n v="62.3"/>
  </r>
  <r>
    <s v="USR-100843"/>
    <d v="2025-02-08T00:00:00"/>
    <x v="1"/>
    <x v="3"/>
    <x v="1"/>
    <x v="1"/>
    <x v="2"/>
    <n v="1"/>
    <n v="0"/>
    <n v="0"/>
    <n v="0"/>
    <n v="0"/>
    <n v="0"/>
    <n v="0"/>
    <n v="0"/>
    <n v="0"/>
    <m/>
    <m/>
  </r>
  <r>
    <s v="USR-100844"/>
    <d v="2025-01-22T00:00:00"/>
    <x v="1"/>
    <x v="3"/>
    <x v="1"/>
    <x v="2"/>
    <x v="2"/>
    <n v="0"/>
    <n v="0"/>
    <n v="0"/>
    <n v="0"/>
    <n v="0"/>
    <n v="0"/>
    <n v="0"/>
    <n v="0"/>
    <n v="0"/>
    <m/>
    <n v="60.7"/>
  </r>
  <r>
    <s v="USR-100845"/>
    <d v="2025-04-01T00:00:00"/>
    <x v="1"/>
    <x v="1"/>
    <x v="1"/>
    <x v="1"/>
    <x v="0"/>
    <n v="1"/>
    <n v="0"/>
    <n v="0"/>
    <n v="0"/>
    <n v="0"/>
    <n v="0"/>
    <n v="0"/>
    <n v="0"/>
    <n v="0"/>
    <m/>
    <n v="61.5"/>
  </r>
  <r>
    <s v="USR-100846"/>
    <d v="2025-01-21T00:00:00"/>
    <x v="1"/>
    <x v="0"/>
    <x v="1"/>
    <x v="2"/>
    <x v="0"/>
    <n v="1"/>
    <n v="0"/>
    <n v="0"/>
    <n v="0"/>
    <n v="0"/>
    <n v="0"/>
    <n v="0"/>
    <n v="0"/>
    <n v="0"/>
    <m/>
    <n v="75"/>
  </r>
  <r>
    <s v="USR-100847"/>
    <d v="2025-01-02T00:00:00"/>
    <x v="1"/>
    <x v="2"/>
    <x v="0"/>
    <x v="1"/>
    <x v="1"/>
    <n v="1"/>
    <n v="1"/>
    <n v="0"/>
    <n v="0"/>
    <n v="0"/>
    <n v="0"/>
    <n v="0"/>
    <n v="0"/>
    <n v="0"/>
    <m/>
    <n v="51.9"/>
  </r>
  <r>
    <s v="USR-100848"/>
    <d v="2025-05-12T00:00:00"/>
    <x v="1"/>
    <x v="3"/>
    <x v="0"/>
    <x v="2"/>
    <x v="1"/>
    <n v="0"/>
    <n v="0"/>
    <n v="0"/>
    <n v="0"/>
    <n v="0"/>
    <n v="0"/>
    <n v="0"/>
    <n v="0"/>
    <n v="0"/>
    <m/>
    <n v="34.5"/>
  </r>
  <r>
    <s v="USR-100849"/>
    <d v="2025-03-05T00:00:00"/>
    <x v="1"/>
    <x v="3"/>
    <x v="1"/>
    <x v="4"/>
    <x v="0"/>
    <n v="0"/>
    <n v="0"/>
    <n v="0"/>
    <n v="0"/>
    <n v="0"/>
    <n v="0"/>
    <n v="0"/>
    <n v="0"/>
    <n v="0"/>
    <m/>
    <n v="54.5"/>
  </r>
  <r>
    <s v="USR-100850"/>
    <d v="2025-01-24T00:00:00"/>
    <x v="1"/>
    <x v="2"/>
    <x v="1"/>
    <x v="1"/>
    <x v="1"/>
    <n v="0"/>
    <n v="0"/>
    <n v="0"/>
    <n v="0"/>
    <n v="0"/>
    <n v="0"/>
    <n v="0"/>
    <n v="0"/>
    <n v="0"/>
    <m/>
    <n v="46"/>
  </r>
  <r>
    <s v="USR-100851"/>
    <d v="2025-01-31T00:00:00"/>
    <x v="1"/>
    <x v="2"/>
    <x v="0"/>
    <x v="0"/>
    <x v="1"/>
    <n v="1"/>
    <n v="1"/>
    <n v="1"/>
    <n v="0"/>
    <n v="0"/>
    <n v="0"/>
    <n v="0"/>
    <n v="0"/>
    <n v="0"/>
    <m/>
    <n v="88.4"/>
  </r>
  <r>
    <s v="USR-100852"/>
    <d v="2025-01-24T00:00:00"/>
    <x v="1"/>
    <x v="0"/>
    <x v="2"/>
    <x v="1"/>
    <x v="0"/>
    <n v="1"/>
    <n v="0"/>
    <n v="0"/>
    <n v="0"/>
    <n v="0"/>
    <n v="0"/>
    <n v="0"/>
    <n v="0"/>
    <n v="0"/>
    <m/>
    <n v="69.5"/>
  </r>
  <r>
    <s v="USR-100853"/>
    <d v="2025-02-14T00:00:00"/>
    <x v="1"/>
    <x v="0"/>
    <x v="0"/>
    <x v="3"/>
    <x v="0"/>
    <n v="1"/>
    <n v="1"/>
    <n v="1"/>
    <n v="0"/>
    <n v="0"/>
    <n v="0"/>
    <n v="0"/>
    <n v="0"/>
    <n v="0"/>
    <m/>
    <n v="74.2"/>
  </r>
  <r>
    <s v="USR-100854"/>
    <d v="2025-05-27T00:00:00"/>
    <x v="1"/>
    <x v="0"/>
    <x v="1"/>
    <x v="1"/>
    <x v="1"/>
    <n v="1"/>
    <n v="1"/>
    <n v="1"/>
    <n v="0"/>
    <n v="0"/>
    <n v="0"/>
    <n v="0"/>
    <n v="0"/>
    <n v="0"/>
    <m/>
    <n v="72.099999999999994"/>
  </r>
  <r>
    <s v="USR-100855"/>
    <d v="2025-02-28T00:00:00"/>
    <x v="1"/>
    <x v="0"/>
    <x v="1"/>
    <x v="2"/>
    <x v="1"/>
    <n v="1"/>
    <n v="1"/>
    <n v="1"/>
    <n v="1"/>
    <n v="398.33"/>
    <n v="398.33"/>
    <n v="0"/>
    <n v="0"/>
    <n v="0"/>
    <n v="5"/>
    <n v="85.1"/>
  </r>
  <r>
    <s v="USR-100856"/>
    <d v="2025-05-27T00:00:00"/>
    <x v="1"/>
    <x v="0"/>
    <x v="1"/>
    <x v="1"/>
    <x v="0"/>
    <n v="1"/>
    <n v="1"/>
    <n v="1"/>
    <n v="0"/>
    <n v="0"/>
    <n v="0"/>
    <n v="0"/>
    <n v="0"/>
    <n v="0"/>
    <m/>
    <n v="49.5"/>
  </r>
  <r>
    <s v="USR-100857"/>
    <d v="2025-05-17T00:00:00"/>
    <x v="1"/>
    <x v="3"/>
    <x v="1"/>
    <x v="2"/>
    <x v="2"/>
    <n v="0"/>
    <n v="0"/>
    <n v="0"/>
    <n v="0"/>
    <n v="0"/>
    <n v="0"/>
    <n v="1"/>
    <n v="1"/>
    <n v="0"/>
    <m/>
    <n v="79"/>
  </r>
  <r>
    <s v="USR-100858"/>
    <d v="2025-01-10T00:00:00"/>
    <x v="1"/>
    <x v="1"/>
    <x v="0"/>
    <x v="4"/>
    <x v="1"/>
    <n v="0"/>
    <n v="0"/>
    <n v="0"/>
    <n v="0"/>
    <n v="0"/>
    <n v="0"/>
    <n v="0"/>
    <n v="0"/>
    <n v="0"/>
    <m/>
    <n v="71.8"/>
  </r>
  <r>
    <s v="USR-100859"/>
    <d v="2025-04-22T00:00:00"/>
    <x v="1"/>
    <x v="0"/>
    <x v="1"/>
    <x v="0"/>
    <x v="0"/>
    <n v="1"/>
    <n v="1"/>
    <n v="1"/>
    <n v="1"/>
    <n v="1117.54"/>
    <n v="1117.54"/>
    <n v="0"/>
    <n v="0"/>
    <n v="0"/>
    <n v="6"/>
    <n v="60.4"/>
  </r>
  <r>
    <s v="USR-100860"/>
    <d v="2025-03-02T00:00:00"/>
    <x v="1"/>
    <x v="3"/>
    <x v="0"/>
    <x v="1"/>
    <x v="0"/>
    <n v="1"/>
    <n v="0"/>
    <n v="0"/>
    <n v="0"/>
    <n v="0"/>
    <n v="0"/>
    <n v="2"/>
    <n v="1"/>
    <n v="0"/>
    <m/>
    <n v="38.299999999999997"/>
  </r>
  <r>
    <s v="USR-100861"/>
    <d v="2025-03-23T00:00:00"/>
    <x v="1"/>
    <x v="2"/>
    <x v="1"/>
    <x v="2"/>
    <x v="1"/>
    <n v="1"/>
    <n v="1"/>
    <n v="1"/>
    <n v="0"/>
    <n v="0"/>
    <n v="0"/>
    <n v="0"/>
    <n v="0"/>
    <n v="0"/>
    <m/>
    <n v="79.599999999999994"/>
  </r>
  <r>
    <s v="USR-100862"/>
    <d v="2025-02-12T00:00:00"/>
    <x v="1"/>
    <x v="2"/>
    <x v="1"/>
    <x v="0"/>
    <x v="1"/>
    <n v="1"/>
    <n v="1"/>
    <n v="1"/>
    <n v="0"/>
    <n v="0"/>
    <n v="0"/>
    <n v="0"/>
    <n v="0"/>
    <n v="0"/>
    <m/>
    <n v="71.900000000000006"/>
  </r>
  <r>
    <s v="USR-100863"/>
    <d v="2025-05-03T00:00:00"/>
    <x v="1"/>
    <x v="3"/>
    <x v="1"/>
    <x v="3"/>
    <x v="0"/>
    <n v="1"/>
    <n v="0"/>
    <n v="0"/>
    <n v="0"/>
    <n v="0"/>
    <n v="0"/>
    <n v="0"/>
    <n v="0"/>
    <n v="0"/>
    <m/>
    <n v="54.6"/>
  </r>
  <r>
    <s v="USR-100864"/>
    <d v="2025-03-28T00:00:00"/>
    <x v="1"/>
    <x v="0"/>
    <x v="0"/>
    <x v="4"/>
    <x v="1"/>
    <n v="1"/>
    <n v="0"/>
    <n v="0"/>
    <n v="0"/>
    <n v="0"/>
    <n v="0"/>
    <n v="3"/>
    <n v="1"/>
    <n v="0"/>
    <m/>
    <n v="49.3"/>
  </r>
  <r>
    <s v="USR-100865"/>
    <d v="2025-03-12T00:00:00"/>
    <x v="1"/>
    <x v="0"/>
    <x v="1"/>
    <x v="4"/>
    <x v="0"/>
    <n v="0"/>
    <n v="0"/>
    <n v="0"/>
    <n v="0"/>
    <n v="0"/>
    <n v="0"/>
    <n v="1"/>
    <n v="1"/>
    <n v="0"/>
    <m/>
    <n v="66.900000000000006"/>
  </r>
  <r>
    <s v="USR-100866"/>
    <d v="2025-04-27T00:00:00"/>
    <x v="1"/>
    <x v="2"/>
    <x v="1"/>
    <x v="2"/>
    <x v="1"/>
    <n v="1"/>
    <n v="0"/>
    <n v="0"/>
    <n v="0"/>
    <n v="0"/>
    <n v="0"/>
    <n v="1"/>
    <n v="1"/>
    <n v="0"/>
    <m/>
    <n v="77.8"/>
  </r>
  <r>
    <s v="USR-100867"/>
    <d v="2025-04-02T00:00:00"/>
    <x v="1"/>
    <x v="3"/>
    <x v="1"/>
    <x v="3"/>
    <x v="0"/>
    <n v="1"/>
    <n v="0"/>
    <n v="0"/>
    <n v="0"/>
    <n v="0"/>
    <n v="0"/>
    <n v="0"/>
    <n v="0"/>
    <n v="0"/>
    <m/>
    <n v="63"/>
  </r>
  <r>
    <s v="USR-100868"/>
    <d v="2025-04-21T00:00:00"/>
    <x v="1"/>
    <x v="0"/>
    <x v="1"/>
    <x v="4"/>
    <x v="1"/>
    <n v="0"/>
    <n v="0"/>
    <n v="0"/>
    <n v="0"/>
    <n v="0"/>
    <n v="0"/>
    <n v="0"/>
    <n v="0"/>
    <n v="0"/>
    <m/>
    <n v="79.8"/>
  </r>
  <r>
    <s v="USR-100869"/>
    <d v="2025-01-26T00:00:00"/>
    <x v="1"/>
    <x v="1"/>
    <x v="0"/>
    <x v="1"/>
    <x v="0"/>
    <n v="0"/>
    <n v="0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x v="1"/>
    <n v="0"/>
    <n v="0"/>
    <n v="0"/>
    <n v="0"/>
    <n v="0"/>
    <n v="0"/>
    <n v="1"/>
    <n v="1"/>
    <n v="0"/>
    <m/>
    <n v="66.400000000000006"/>
  </r>
  <r>
    <s v="USR-100871"/>
    <d v="2025-02-07T00:00:00"/>
    <x v="1"/>
    <x v="2"/>
    <x v="1"/>
    <x v="1"/>
    <x v="1"/>
    <n v="1"/>
    <n v="0"/>
    <n v="0"/>
    <n v="0"/>
    <n v="0"/>
    <n v="0"/>
    <n v="0"/>
    <n v="0"/>
    <n v="0"/>
    <m/>
    <n v="27.6"/>
  </r>
  <r>
    <s v="USR-100872"/>
    <d v="2025-05-07T00:00:00"/>
    <x v="1"/>
    <x v="1"/>
    <x v="1"/>
    <x v="1"/>
    <x v="2"/>
    <n v="1"/>
    <n v="0"/>
    <n v="0"/>
    <n v="0"/>
    <n v="0"/>
    <n v="0"/>
    <n v="1"/>
    <n v="1"/>
    <n v="0"/>
    <m/>
    <n v="56.5"/>
  </r>
  <r>
    <s v="USR-100873"/>
    <d v="2025-04-22T00:00:00"/>
    <x v="1"/>
    <x v="1"/>
    <x v="3"/>
    <x v="4"/>
    <x v="1"/>
    <n v="1"/>
    <n v="0"/>
    <n v="0"/>
    <n v="0"/>
    <n v="0"/>
    <n v="0"/>
    <n v="0"/>
    <n v="0"/>
    <n v="0"/>
    <m/>
    <n v="67.8"/>
  </r>
  <r>
    <s v="USR-100874"/>
    <d v="2025-05-04T00:00:00"/>
    <x v="1"/>
    <x v="1"/>
    <x v="0"/>
    <x v="4"/>
    <x v="1"/>
    <n v="1"/>
    <n v="0"/>
    <n v="0"/>
    <n v="0"/>
    <n v="0"/>
    <n v="0"/>
    <n v="0"/>
    <n v="0"/>
    <n v="0"/>
    <m/>
    <n v="80"/>
  </r>
  <r>
    <s v="USR-100875"/>
    <d v="2025-05-16T00:00:00"/>
    <x v="1"/>
    <x v="3"/>
    <x v="1"/>
    <x v="4"/>
    <x v="0"/>
    <n v="1"/>
    <n v="1"/>
    <n v="1"/>
    <n v="0"/>
    <n v="0"/>
    <n v="0"/>
    <n v="1"/>
    <n v="1"/>
    <n v="0"/>
    <m/>
    <n v="80.900000000000006"/>
  </r>
  <r>
    <s v="USR-100876"/>
    <d v="2025-02-11T00:00:00"/>
    <x v="1"/>
    <x v="1"/>
    <x v="1"/>
    <x v="2"/>
    <x v="1"/>
    <n v="0"/>
    <n v="0"/>
    <n v="0"/>
    <n v="0"/>
    <n v="0"/>
    <n v="0"/>
    <n v="0"/>
    <n v="0"/>
    <n v="0"/>
    <m/>
    <n v="34.5"/>
  </r>
  <r>
    <s v="USR-100877"/>
    <d v="2025-05-09T00:00:00"/>
    <x v="1"/>
    <x v="2"/>
    <x v="0"/>
    <x v="1"/>
    <x v="2"/>
    <n v="1"/>
    <n v="0"/>
    <n v="0"/>
    <n v="0"/>
    <n v="0"/>
    <n v="0"/>
    <n v="0"/>
    <n v="0"/>
    <n v="0"/>
    <m/>
    <n v="73.5"/>
  </r>
  <r>
    <s v="USR-100878"/>
    <d v="2025-02-09T00:00:00"/>
    <x v="1"/>
    <x v="3"/>
    <x v="0"/>
    <x v="2"/>
    <x v="1"/>
    <n v="1"/>
    <n v="1"/>
    <n v="0"/>
    <n v="0"/>
    <n v="0"/>
    <n v="0"/>
    <n v="0"/>
    <n v="0"/>
    <n v="0"/>
    <m/>
    <n v="70"/>
  </r>
  <r>
    <s v="USR-100879"/>
    <d v="2025-05-22T00:00:00"/>
    <x v="1"/>
    <x v="1"/>
    <x v="1"/>
    <x v="4"/>
    <x v="0"/>
    <n v="0"/>
    <n v="0"/>
    <n v="0"/>
    <n v="0"/>
    <n v="0"/>
    <n v="0"/>
    <n v="0"/>
    <n v="0"/>
    <n v="0"/>
    <m/>
    <n v="86.9"/>
  </r>
  <r>
    <s v="USR-100880"/>
    <d v="2025-05-24T00:00:00"/>
    <x v="1"/>
    <x v="2"/>
    <x v="1"/>
    <x v="4"/>
    <x v="0"/>
    <n v="0"/>
    <n v="0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x v="0"/>
    <n v="1"/>
    <n v="1"/>
    <n v="1"/>
    <n v="0"/>
    <n v="0"/>
    <n v="0"/>
    <n v="0"/>
    <n v="0"/>
    <n v="0"/>
    <m/>
    <n v="58.3"/>
  </r>
  <r>
    <s v="USR-100882"/>
    <d v="2025-03-19T00:00:00"/>
    <x v="1"/>
    <x v="2"/>
    <x v="1"/>
    <x v="2"/>
    <x v="1"/>
    <n v="1"/>
    <n v="0"/>
    <n v="0"/>
    <n v="0"/>
    <n v="0"/>
    <n v="0"/>
    <n v="0"/>
    <n v="0"/>
    <n v="0"/>
    <m/>
    <n v="45"/>
  </r>
  <r>
    <s v="USR-100883"/>
    <d v="2025-05-20T00:00:00"/>
    <x v="1"/>
    <x v="3"/>
    <x v="1"/>
    <x v="1"/>
    <x v="2"/>
    <n v="0"/>
    <n v="0"/>
    <n v="0"/>
    <n v="0"/>
    <n v="0"/>
    <n v="0"/>
    <n v="0"/>
    <n v="0"/>
    <n v="0"/>
    <m/>
    <n v="60.8"/>
  </r>
  <r>
    <s v="USR-100884"/>
    <d v="2025-05-10T00:00:00"/>
    <x v="1"/>
    <x v="0"/>
    <x v="1"/>
    <x v="0"/>
    <x v="2"/>
    <n v="1"/>
    <n v="0"/>
    <n v="0"/>
    <n v="0"/>
    <n v="0"/>
    <n v="0"/>
    <n v="4"/>
    <n v="1"/>
    <n v="0"/>
    <m/>
    <n v="53.7"/>
  </r>
  <r>
    <s v="USR-100885"/>
    <d v="2025-03-29T00:00:00"/>
    <x v="1"/>
    <x v="2"/>
    <x v="1"/>
    <x v="4"/>
    <x v="1"/>
    <n v="1"/>
    <n v="1"/>
    <n v="1"/>
    <n v="0"/>
    <n v="0"/>
    <n v="0"/>
    <n v="0"/>
    <n v="0"/>
    <n v="0"/>
    <m/>
    <n v="48.8"/>
  </r>
  <r>
    <s v="USR-100886"/>
    <d v="2025-04-03T00:00:00"/>
    <x v="1"/>
    <x v="1"/>
    <x v="0"/>
    <x v="3"/>
    <x v="0"/>
    <n v="0"/>
    <n v="0"/>
    <n v="0"/>
    <n v="0"/>
    <n v="0"/>
    <n v="0"/>
    <n v="0"/>
    <n v="0"/>
    <n v="0"/>
    <m/>
    <n v="52.9"/>
  </r>
  <r>
    <s v="USR-100887"/>
    <d v="2025-05-30T00:00:00"/>
    <x v="1"/>
    <x v="3"/>
    <x v="1"/>
    <x v="0"/>
    <x v="1"/>
    <n v="1"/>
    <n v="0"/>
    <n v="0"/>
    <n v="0"/>
    <n v="0"/>
    <n v="0"/>
    <n v="0"/>
    <n v="0"/>
    <n v="0"/>
    <m/>
    <n v="42.4"/>
  </r>
  <r>
    <s v="USR-100888"/>
    <d v="2025-04-06T00:00:00"/>
    <x v="1"/>
    <x v="2"/>
    <x v="0"/>
    <x v="0"/>
    <x v="1"/>
    <n v="1"/>
    <n v="0"/>
    <n v="0"/>
    <n v="0"/>
    <n v="0"/>
    <n v="0"/>
    <n v="0"/>
    <n v="0"/>
    <n v="0"/>
    <m/>
    <n v="58.7"/>
  </r>
  <r>
    <s v="USR-100889"/>
    <d v="2025-03-14T00:00:00"/>
    <x v="1"/>
    <x v="0"/>
    <x v="1"/>
    <x v="3"/>
    <x v="1"/>
    <n v="1"/>
    <n v="1"/>
    <n v="1"/>
    <n v="1"/>
    <n v="2064.5500000000002"/>
    <n v="1496.19"/>
    <n v="0"/>
    <n v="0"/>
    <n v="0"/>
    <n v="1"/>
    <n v="67.8"/>
  </r>
  <r>
    <s v="USR-100890"/>
    <d v="2025-02-24T00:00:00"/>
    <x v="1"/>
    <x v="3"/>
    <x v="0"/>
    <x v="2"/>
    <x v="0"/>
    <n v="1"/>
    <n v="0"/>
    <n v="0"/>
    <n v="0"/>
    <n v="0"/>
    <n v="0"/>
    <n v="0"/>
    <n v="0"/>
    <n v="0"/>
    <m/>
    <n v="62.6"/>
  </r>
  <r>
    <s v="USR-100891"/>
    <d v="2025-03-04T00:00:00"/>
    <x v="1"/>
    <x v="1"/>
    <x v="1"/>
    <x v="0"/>
    <x v="0"/>
    <n v="1"/>
    <n v="0"/>
    <n v="0"/>
    <n v="0"/>
    <n v="0"/>
    <n v="0"/>
    <n v="0"/>
    <n v="0"/>
    <n v="0"/>
    <m/>
    <n v="82.4"/>
  </r>
  <r>
    <s v="USR-100892"/>
    <d v="2025-04-02T00:00:00"/>
    <x v="1"/>
    <x v="0"/>
    <x v="1"/>
    <x v="1"/>
    <x v="1"/>
    <n v="1"/>
    <n v="1"/>
    <n v="1"/>
    <n v="0"/>
    <n v="0"/>
    <n v="0"/>
    <n v="0"/>
    <n v="0"/>
    <n v="0"/>
    <m/>
    <n v="50.4"/>
  </r>
  <r>
    <s v="USR-100893"/>
    <d v="2025-05-11T00:00:00"/>
    <x v="1"/>
    <x v="0"/>
    <x v="1"/>
    <x v="0"/>
    <x v="2"/>
    <n v="0"/>
    <n v="0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x v="0"/>
    <n v="1"/>
    <n v="1"/>
    <n v="1"/>
    <n v="0"/>
    <n v="0"/>
    <n v="0"/>
    <n v="0"/>
    <n v="0"/>
    <n v="0"/>
    <m/>
    <n v="58.8"/>
  </r>
  <r>
    <s v="USR-100895"/>
    <d v="2025-05-06T00:00:00"/>
    <x v="1"/>
    <x v="1"/>
    <x v="1"/>
    <x v="3"/>
    <x v="1"/>
    <n v="1"/>
    <n v="1"/>
    <n v="0"/>
    <n v="0"/>
    <n v="0"/>
    <n v="0"/>
    <n v="2"/>
    <n v="1"/>
    <n v="0"/>
    <m/>
    <n v="28.3"/>
  </r>
  <r>
    <s v="USR-100896"/>
    <d v="2025-02-11T00:00:00"/>
    <x v="1"/>
    <x v="1"/>
    <x v="0"/>
    <x v="2"/>
    <x v="1"/>
    <n v="1"/>
    <n v="1"/>
    <n v="0"/>
    <n v="0"/>
    <n v="0"/>
    <n v="0"/>
    <n v="0"/>
    <n v="0"/>
    <n v="0"/>
    <m/>
    <n v="44.1"/>
  </r>
  <r>
    <s v="USR-100897"/>
    <d v="2025-05-09T00:00:00"/>
    <x v="1"/>
    <x v="3"/>
    <x v="1"/>
    <x v="2"/>
    <x v="2"/>
    <n v="1"/>
    <n v="1"/>
    <n v="0"/>
    <n v="0"/>
    <n v="0"/>
    <n v="0"/>
    <n v="0"/>
    <n v="0"/>
    <n v="0"/>
    <m/>
    <n v="66.7"/>
  </r>
  <r>
    <s v="USR-100898"/>
    <d v="2025-02-02T00:00:00"/>
    <x v="1"/>
    <x v="3"/>
    <x v="1"/>
    <x v="5"/>
    <x v="1"/>
    <n v="1"/>
    <n v="0"/>
    <n v="0"/>
    <n v="0"/>
    <n v="0"/>
    <n v="0"/>
    <n v="0"/>
    <n v="0"/>
    <n v="0"/>
    <m/>
    <n v="100"/>
  </r>
  <r>
    <s v="USR-100899"/>
    <d v="2025-04-03T00:00:00"/>
    <x v="1"/>
    <x v="3"/>
    <x v="1"/>
    <x v="4"/>
    <x v="1"/>
    <n v="1"/>
    <n v="1"/>
    <n v="0"/>
    <n v="0"/>
    <n v="0"/>
    <n v="0"/>
    <n v="0"/>
    <n v="0"/>
    <n v="0"/>
    <m/>
    <n v="87.5"/>
  </r>
  <r>
    <s v="USR-100900"/>
    <d v="2025-02-15T00:00:00"/>
    <x v="1"/>
    <x v="0"/>
    <x v="0"/>
    <x v="1"/>
    <x v="0"/>
    <n v="1"/>
    <n v="0"/>
    <n v="0"/>
    <n v="0"/>
    <n v="0"/>
    <n v="0"/>
    <n v="2"/>
    <n v="1"/>
    <n v="0"/>
    <m/>
    <n v="65.400000000000006"/>
  </r>
  <r>
    <s v="USR-100901"/>
    <d v="2025-04-18T00:00:00"/>
    <x v="1"/>
    <x v="3"/>
    <x v="0"/>
    <x v="1"/>
    <x v="1"/>
    <n v="1"/>
    <n v="0"/>
    <n v="0"/>
    <n v="0"/>
    <n v="0"/>
    <n v="0"/>
    <n v="0"/>
    <n v="0"/>
    <n v="0"/>
    <m/>
    <n v="22.9"/>
  </r>
  <r>
    <s v="USR-100902"/>
    <d v="2025-03-14T00:00:00"/>
    <x v="1"/>
    <x v="1"/>
    <x v="0"/>
    <x v="1"/>
    <x v="2"/>
    <n v="0"/>
    <n v="0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x v="1"/>
    <n v="1"/>
    <n v="0"/>
    <n v="0"/>
    <n v="0"/>
    <n v="0"/>
    <n v="0"/>
    <n v="2"/>
    <n v="1"/>
    <n v="0"/>
    <m/>
    <n v="54.4"/>
  </r>
  <r>
    <s v="USR-100904"/>
    <d v="2025-02-13T00:00:00"/>
    <x v="1"/>
    <x v="0"/>
    <x v="0"/>
    <x v="1"/>
    <x v="1"/>
    <n v="1"/>
    <n v="1"/>
    <n v="1"/>
    <n v="0"/>
    <n v="0"/>
    <n v="0"/>
    <n v="0"/>
    <n v="0"/>
    <n v="0"/>
    <m/>
    <n v="56.8"/>
  </r>
  <r>
    <s v="USR-100905"/>
    <d v="2025-01-23T00:00:00"/>
    <x v="1"/>
    <x v="3"/>
    <x v="1"/>
    <x v="2"/>
    <x v="1"/>
    <n v="1"/>
    <n v="1"/>
    <n v="1"/>
    <n v="1"/>
    <n v="341.38"/>
    <n v="341.38"/>
    <n v="0"/>
    <n v="0"/>
    <n v="0"/>
    <n v="2"/>
    <n v="63.6"/>
  </r>
  <r>
    <s v="USR-100906"/>
    <d v="2025-02-24T00:00:00"/>
    <x v="1"/>
    <x v="2"/>
    <x v="1"/>
    <x v="4"/>
    <x v="1"/>
    <n v="1"/>
    <n v="0"/>
    <n v="0"/>
    <n v="0"/>
    <n v="0"/>
    <n v="0"/>
    <n v="0"/>
    <n v="0"/>
    <n v="0"/>
    <m/>
    <n v="58.2"/>
  </r>
  <r>
    <s v="USR-100907"/>
    <d v="2025-02-28T00:00:00"/>
    <x v="1"/>
    <x v="1"/>
    <x v="1"/>
    <x v="2"/>
    <x v="1"/>
    <n v="1"/>
    <n v="1"/>
    <n v="0"/>
    <n v="0"/>
    <n v="0"/>
    <n v="0"/>
    <n v="0"/>
    <n v="0"/>
    <n v="0"/>
    <m/>
    <n v="54.6"/>
  </r>
  <r>
    <s v="USR-100908"/>
    <d v="2025-01-07T00:00:00"/>
    <x v="1"/>
    <x v="1"/>
    <x v="2"/>
    <x v="1"/>
    <x v="0"/>
    <n v="1"/>
    <n v="0"/>
    <n v="0"/>
    <n v="0"/>
    <n v="0"/>
    <n v="0"/>
    <n v="0"/>
    <n v="0"/>
    <n v="0"/>
    <m/>
    <n v="81.900000000000006"/>
  </r>
  <r>
    <s v="USR-100909"/>
    <d v="2025-03-21T00:00:00"/>
    <x v="1"/>
    <x v="1"/>
    <x v="0"/>
    <x v="0"/>
    <x v="1"/>
    <n v="1"/>
    <n v="0"/>
    <n v="0"/>
    <n v="0"/>
    <n v="0"/>
    <n v="0"/>
    <n v="3"/>
    <n v="1"/>
    <n v="0"/>
    <m/>
    <n v="53.3"/>
  </r>
  <r>
    <s v="USR-100910"/>
    <d v="2025-02-18T00:00:00"/>
    <x v="1"/>
    <x v="0"/>
    <x v="0"/>
    <x v="1"/>
    <x v="0"/>
    <n v="0"/>
    <n v="0"/>
    <n v="0"/>
    <n v="0"/>
    <n v="0"/>
    <n v="0"/>
    <n v="0"/>
    <n v="0"/>
    <n v="0"/>
    <m/>
    <n v="54.2"/>
  </r>
  <r>
    <s v="USR-100911"/>
    <d v="2025-01-05T00:00:00"/>
    <x v="1"/>
    <x v="0"/>
    <x v="1"/>
    <x v="2"/>
    <x v="1"/>
    <n v="1"/>
    <n v="1"/>
    <n v="0"/>
    <n v="0"/>
    <n v="0"/>
    <n v="0"/>
    <n v="0"/>
    <n v="0"/>
    <n v="0"/>
    <m/>
    <n v="65.599999999999994"/>
  </r>
  <r>
    <s v="USR-100912"/>
    <d v="2025-03-11T00:00:00"/>
    <x v="1"/>
    <x v="2"/>
    <x v="0"/>
    <x v="1"/>
    <x v="0"/>
    <n v="1"/>
    <n v="0"/>
    <n v="0"/>
    <n v="0"/>
    <n v="0"/>
    <n v="0"/>
    <n v="1"/>
    <n v="1"/>
    <n v="0"/>
    <m/>
    <n v="56.5"/>
  </r>
  <r>
    <s v="USR-100913"/>
    <d v="2025-01-09T00:00:00"/>
    <x v="1"/>
    <x v="0"/>
    <x v="0"/>
    <x v="1"/>
    <x v="0"/>
    <n v="1"/>
    <n v="0"/>
    <n v="0"/>
    <n v="0"/>
    <n v="0"/>
    <n v="0"/>
    <n v="0"/>
    <n v="0"/>
    <n v="0"/>
    <m/>
    <n v="59.7"/>
  </r>
  <r>
    <s v="USR-100914"/>
    <d v="2025-01-08T00:00:00"/>
    <x v="1"/>
    <x v="3"/>
    <x v="1"/>
    <x v="1"/>
    <x v="1"/>
    <n v="1"/>
    <n v="1"/>
    <n v="1"/>
    <n v="0"/>
    <n v="0"/>
    <n v="0"/>
    <n v="0"/>
    <n v="0"/>
    <n v="0"/>
    <m/>
    <n v="72.5"/>
  </r>
  <r>
    <s v="USR-100915"/>
    <d v="2025-05-01T00:00:00"/>
    <x v="1"/>
    <x v="2"/>
    <x v="0"/>
    <x v="2"/>
    <x v="1"/>
    <n v="1"/>
    <n v="0"/>
    <n v="0"/>
    <n v="0"/>
    <n v="0"/>
    <n v="0"/>
    <n v="0"/>
    <n v="0"/>
    <n v="0"/>
    <m/>
    <n v="64.3"/>
  </r>
  <r>
    <s v="USR-100916"/>
    <d v="2025-03-03T00:00:00"/>
    <x v="1"/>
    <x v="3"/>
    <x v="1"/>
    <x v="4"/>
    <x v="1"/>
    <n v="1"/>
    <n v="0"/>
    <n v="0"/>
    <n v="0"/>
    <n v="0"/>
    <n v="0"/>
    <n v="0"/>
    <n v="0"/>
    <n v="0"/>
    <m/>
    <n v="64.5"/>
  </r>
  <r>
    <s v="USR-100917"/>
    <d v="2025-02-23T00:00:00"/>
    <x v="1"/>
    <x v="1"/>
    <x v="0"/>
    <x v="4"/>
    <x v="0"/>
    <n v="1"/>
    <n v="1"/>
    <n v="1"/>
    <n v="0"/>
    <n v="0"/>
    <n v="0"/>
    <n v="0"/>
    <n v="0"/>
    <n v="0"/>
    <m/>
    <n v="70.599999999999994"/>
  </r>
  <r>
    <s v="USR-100918"/>
    <d v="2025-02-17T00:00:00"/>
    <x v="1"/>
    <x v="3"/>
    <x v="0"/>
    <x v="1"/>
    <x v="0"/>
    <n v="0"/>
    <n v="0"/>
    <n v="0"/>
    <n v="0"/>
    <n v="0"/>
    <n v="0"/>
    <n v="0"/>
    <n v="0"/>
    <n v="0"/>
    <m/>
    <n v="58.4"/>
  </r>
  <r>
    <s v="USR-100919"/>
    <d v="2025-05-21T00:00:00"/>
    <x v="1"/>
    <x v="2"/>
    <x v="1"/>
    <x v="1"/>
    <x v="0"/>
    <n v="1"/>
    <n v="0"/>
    <n v="0"/>
    <n v="0"/>
    <n v="0"/>
    <n v="0"/>
    <n v="0"/>
    <n v="0"/>
    <n v="0"/>
    <m/>
    <n v="56.6"/>
  </r>
  <r>
    <s v="USR-100920"/>
    <d v="2025-01-30T00:00:00"/>
    <x v="1"/>
    <x v="3"/>
    <x v="1"/>
    <x v="1"/>
    <x v="1"/>
    <n v="1"/>
    <n v="0"/>
    <n v="0"/>
    <n v="0"/>
    <n v="0"/>
    <n v="0"/>
    <n v="0"/>
    <n v="0"/>
    <n v="0"/>
    <m/>
    <n v="61.8"/>
  </r>
  <r>
    <s v="USR-100921"/>
    <d v="2025-03-20T00:00:00"/>
    <x v="1"/>
    <x v="1"/>
    <x v="1"/>
    <x v="0"/>
    <x v="1"/>
    <n v="1"/>
    <n v="1"/>
    <n v="1"/>
    <n v="1"/>
    <n v="513.52"/>
    <n v="513.52"/>
    <n v="0"/>
    <n v="0"/>
    <n v="0"/>
    <n v="8"/>
    <n v="43.4"/>
  </r>
  <r>
    <s v="USR-100922"/>
    <d v="2025-04-10T00:00:00"/>
    <x v="1"/>
    <x v="1"/>
    <x v="2"/>
    <x v="2"/>
    <x v="1"/>
    <n v="0"/>
    <n v="0"/>
    <n v="0"/>
    <n v="0"/>
    <n v="0"/>
    <n v="0"/>
    <n v="0"/>
    <n v="0"/>
    <n v="0"/>
    <m/>
    <n v="43"/>
  </r>
  <r>
    <s v="USR-100923"/>
    <d v="2025-03-07T00:00:00"/>
    <x v="1"/>
    <x v="0"/>
    <x v="0"/>
    <x v="1"/>
    <x v="1"/>
    <n v="1"/>
    <n v="1"/>
    <n v="1"/>
    <n v="0"/>
    <n v="0"/>
    <n v="0"/>
    <n v="0"/>
    <n v="0"/>
    <n v="0"/>
    <m/>
    <n v="51.1"/>
  </r>
  <r>
    <s v="USR-100924"/>
    <d v="2025-03-12T00:00:00"/>
    <x v="1"/>
    <x v="1"/>
    <x v="1"/>
    <x v="0"/>
    <x v="0"/>
    <n v="1"/>
    <n v="0"/>
    <n v="0"/>
    <n v="0"/>
    <n v="0"/>
    <n v="0"/>
    <n v="0"/>
    <n v="0"/>
    <n v="0"/>
    <m/>
    <n v="48.8"/>
  </r>
  <r>
    <s v="USR-100925"/>
    <d v="2025-02-24T00:00:00"/>
    <x v="1"/>
    <x v="2"/>
    <x v="1"/>
    <x v="3"/>
    <x v="1"/>
    <n v="0"/>
    <n v="0"/>
    <n v="0"/>
    <n v="0"/>
    <n v="0"/>
    <n v="0"/>
    <n v="0"/>
    <n v="0"/>
    <n v="0"/>
    <m/>
    <n v="73.2"/>
  </r>
  <r>
    <s v="USR-100926"/>
    <d v="2025-01-15T00:00:00"/>
    <x v="1"/>
    <x v="2"/>
    <x v="1"/>
    <x v="3"/>
    <x v="1"/>
    <n v="1"/>
    <n v="1"/>
    <n v="1"/>
    <n v="0"/>
    <n v="0"/>
    <n v="0"/>
    <n v="0"/>
    <n v="0"/>
    <n v="0"/>
    <m/>
    <n v="80"/>
  </r>
  <r>
    <s v="USR-100927"/>
    <d v="2025-01-07T00:00:00"/>
    <x v="1"/>
    <x v="0"/>
    <x v="0"/>
    <x v="2"/>
    <x v="1"/>
    <n v="1"/>
    <n v="0"/>
    <n v="0"/>
    <n v="0"/>
    <n v="0"/>
    <n v="0"/>
    <n v="0"/>
    <n v="0"/>
    <n v="0"/>
    <m/>
    <n v="52.3"/>
  </r>
  <r>
    <s v="USR-100928"/>
    <d v="2025-03-02T00:00:00"/>
    <x v="1"/>
    <x v="0"/>
    <x v="0"/>
    <x v="1"/>
    <x v="1"/>
    <n v="0"/>
    <n v="0"/>
    <n v="0"/>
    <n v="0"/>
    <n v="0"/>
    <n v="0"/>
    <n v="0"/>
    <n v="0"/>
    <n v="0"/>
    <m/>
    <n v="49.1"/>
  </r>
  <r>
    <s v="USR-100929"/>
    <d v="2025-01-05T00:00:00"/>
    <x v="1"/>
    <x v="3"/>
    <x v="0"/>
    <x v="3"/>
    <x v="0"/>
    <n v="0"/>
    <n v="0"/>
    <n v="0"/>
    <n v="0"/>
    <n v="0"/>
    <n v="0"/>
    <n v="0"/>
    <n v="0"/>
    <n v="0"/>
    <m/>
    <n v="45.3"/>
  </r>
  <r>
    <s v="USR-100930"/>
    <d v="2025-03-03T00:00:00"/>
    <x v="1"/>
    <x v="3"/>
    <x v="1"/>
    <x v="1"/>
    <x v="1"/>
    <n v="1"/>
    <n v="1"/>
    <n v="0"/>
    <n v="0"/>
    <n v="0"/>
    <n v="0"/>
    <n v="0"/>
    <n v="0"/>
    <n v="0"/>
    <m/>
    <n v="49.1"/>
  </r>
  <r>
    <s v="USR-100931"/>
    <d v="2025-03-31T00:00:00"/>
    <x v="1"/>
    <x v="2"/>
    <x v="0"/>
    <x v="3"/>
    <x v="1"/>
    <n v="1"/>
    <n v="1"/>
    <n v="1"/>
    <n v="1"/>
    <n v="476.44"/>
    <n v="476.44"/>
    <n v="0"/>
    <n v="0"/>
    <n v="0"/>
    <n v="3"/>
    <n v="88.6"/>
  </r>
  <r>
    <s v="USR-100932"/>
    <d v="2025-01-14T00:00:00"/>
    <x v="1"/>
    <x v="2"/>
    <x v="0"/>
    <x v="2"/>
    <x v="2"/>
    <n v="0"/>
    <n v="0"/>
    <n v="0"/>
    <n v="0"/>
    <n v="0"/>
    <n v="0"/>
    <n v="1"/>
    <n v="1"/>
    <n v="0"/>
    <m/>
    <n v="54.4"/>
  </r>
  <r>
    <s v="USR-100933"/>
    <d v="2025-01-15T00:00:00"/>
    <x v="1"/>
    <x v="1"/>
    <x v="0"/>
    <x v="2"/>
    <x v="2"/>
    <n v="1"/>
    <n v="0"/>
    <n v="0"/>
    <n v="0"/>
    <n v="0"/>
    <n v="0"/>
    <n v="0"/>
    <n v="0"/>
    <n v="0"/>
    <m/>
    <n v="72.900000000000006"/>
  </r>
  <r>
    <s v="USR-100934"/>
    <d v="2025-04-25T00:00:00"/>
    <x v="1"/>
    <x v="1"/>
    <x v="0"/>
    <x v="1"/>
    <x v="1"/>
    <n v="1"/>
    <n v="0"/>
    <n v="0"/>
    <n v="0"/>
    <n v="0"/>
    <n v="0"/>
    <n v="0"/>
    <n v="0"/>
    <n v="0"/>
    <m/>
    <n v="53.2"/>
  </r>
  <r>
    <s v="USR-100935"/>
    <d v="2025-03-21T00:00:00"/>
    <x v="1"/>
    <x v="2"/>
    <x v="1"/>
    <x v="1"/>
    <x v="0"/>
    <n v="1"/>
    <n v="1"/>
    <n v="0"/>
    <n v="0"/>
    <n v="0"/>
    <n v="0"/>
    <n v="0"/>
    <n v="0"/>
    <n v="0"/>
    <m/>
    <n v="48.7"/>
  </r>
  <r>
    <s v="USR-100936"/>
    <d v="2025-04-26T00:00:00"/>
    <x v="1"/>
    <x v="3"/>
    <x v="1"/>
    <x v="2"/>
    <x v="0"/>
    <n v="1"/>
    <n v="1"/>
    <n v="1"/>
    <n v="0"/>
    <n v="0"/>
    <n v="0"/>
    <n v="0"/>
    <n v="0"/>
    <n v="0"/>
    <m/>
    <n v="59.9"/>
  </r>
  <r>
    <s v="USR-100937"/>
    <d v="2025-05-21T00:00:00"/>
    <x v="1"/>
    <x v="3"/>
    <x v="0"/>
    <x v="5"/>
    <x v="0"/>
    <n v="0"/>
    <n v="0"/>
    <n v="0"/>
    <n v="0"/>
    <n v="0"/>
    <n v="0"/>
    <n v="0"/>
    <n v="0"/>
    <n v="0"/>
    <m/>
    <n v="82"/>
  </r>
  <r>
    <s v="USR-100938"/>
    <d v="2025-04-18T00:00:00"/>
    <x v="1"/>
    <x v="2"/>
    <x v="1"/>
    <x v="2"/>
    <x v="1"/>
    <n v="0"/>
    <n v="0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x v="2"/>
    <n v="1"/>
    <n v="1"/>
    <n v="0"/>
    <n v="0"/>
    <n v="0"/>
    <n v="0"/>
    <n v="0"/>
    <n v="0"/>
    <n v="0"/>
    <m/>
    <n v="68.3"/>
  </r>
  <r>
    <s v="USR-100940"/>
    <d v="2025-05-28T00:00:00"/>
    <x v="1"/>
    <x v="1"/>
    <x v="1"/>
    <x v="1"/>
    <x v="2"/>
    <n v="0"/>
    <n v="0"/>
    <n v="0"/>
    <n v="0"/>
    <n v="0"/>
    <n v="0"/>
    <n v="0"/>
    <n v="0"/>
    <n v="0"/>
    <m/>
    <n v="100"/>
  </r>
  <r>
    <s v="USR-100941"/>
    <d v="2025-01-15T00:00:00"/>
    <x v="1"/>
    <x v="2"/>
    <x v="1"/>
    <x v="0"/>
    <x v="1"/>
    <n v="1"/>
    <n v="1"/>
    <n v="1"/>
    <n v="0"/>
    <n v="0"/>
    <n v="0"/>
    <n v="2"/>
    <n v="1"/>
    <n v="0"/>
    <m/>
    <n v="76.5"/>
  </r>
  <r>
    <s v="USR-100942"/>
    <d v="2025-01-03T00:00:00"/>
    <x v="1"/>
    <x v="3"/>
    <x v="1"/>
    <x v="1"/>
    <x v="0"/>
    <n v="1"/>
    <n v="1"/>
    <n v="0"/>
    <n v="0"/>
    <n v="0"/>
    <n v="0"/>
    <n v="0"/>
    <n v="0"/>
    <n v="0"/>
    <m/>
    <n v="62"/>
  </r>
  <r>
    <s v="USR-100943"/>
    <d v="2025-02-04T00:00:00"/>
    <x v="1"/>
    <x v="3"/>
    <x v="1"/>
    <x v="2"/>
    <x v="1"/>
    <n v="1"/>
    <n v="1"/>
    <n v="1"/>
    <n v="1"/>
    <n v="324.68"/>
    <n v="324.68"/>
    <n v="1"/>
    <n v="1"/>
    <n v="0"/>
    <n v="7"/>
    <n v="50.1"/>
  </r>
  <r>
    <s v="USR-100944"/>
    <d v="2025-02-22T00:00:00"/>
    <x v="1"/>
    <x v="3"/>
    <x v="1"/>
    <x v="3"/>
    <x v="2"/>
    <n v="1"/>
    <n v="0"/>
    <n v="0"/>
    <n v="0"/>
    <n v="0"/>
    <n v="0"/>
    <n v="0"/>
    <n v="0"/>
    <n v="0"/>
    <m/>
    <n v="62.1"/>
  </r>
  <r>
    <s v="USR-100945"/>
    <d v="2025-05-06T00:00:00"/>
    <x v="1"/>
    <x v="1"/>
    <x v="1"/>
    <x v="1"/>
    <x v="0"/>
    <n v="1"/>
    <n v="0"/>
    <n v="0"/>
    <n v="0"/>
    <n v="0"/>
    <n v="0"/>
    <n v="0"/>
    <n v="0"/>
    <n v="0"/>
    <m/>
    <n v="49.7"/>
  </r>
  <r>
    <s v="USR-100946"/>
    <d v="2025-01-31T00:00:00"/>
    <x v="1"/>
    <x v="3"/>
    <x v="1"/>
    <x v="1"/>
    <x v="1"/>
    <n v="1"/>
    <n v="0"/>
    <n v="0"/>
    <n v="0"/>
    <n v="0"/>
    <n v="0"/>
    <n v="3"/>
    <n v="1"/>
    <n v="0"/>
    <m/>
    <n v="71.099999999999994"/>
  </r>
  <r>
    <s v="USR-100947"/>
    <d v="2025-02-18T00:00:00"/>
    <x v="1"/>
    <x v="0"/>
    <x v="1"/>
    <x v="4"/>
    <x v="0"/>
    <n v="0"/>
    <n v="0"/>
    <n v="0"/>
    <n v="0"/>
    <n v="0"/>
    <n v="0"/>
    <n v="0"/>
    <n v="0"/>
    <n v="0"/>
    <m/>
    <n v="70.8"/>
  </r>
  <r>
    <s v="USR-100948"/>
    <d v="2025-04-23T00:00:00"/>
    <x v="1"/>
    <x v="2"/>
    <x v="1"/>
    <x v="2"/>
    <x v="1"/>
    <n v="1"/>
    <n v="1"/>
    <n v="1"/>
    <n v="1"/>
    <n v="301.98"/>
    <n v="301.98"/>
    <n v="0"/>
    <n v="0"/>
    <n v="0"/>
    <n v="10"/>
    <n v="52.2"/>
  </r>
  <r>
    <s v="USR-100949"/>
    <d v="2025-02-06T00:00:00"/>
    <x v="1"/>
    <x v="0"/>
    <x v="1"/>
    <x v="1"/>
    <x v="1"/>
    <n v="1"/>
    <n v="1"/>
    <n v="1"/>
    <n v="0"/>
    <n v="0"/>
    <n v="0"/>
    <n v="0"/>
    <n v="0"/>
    <n v="0"/>
    <m/>
    <n v="73"/>
  </r>
  <r>
    <s v="USR-100950"/>
    <d v="2025-04-26T00:00:00"/>
    <x v="1"/>
    <x v="3"/>
    <x v="0"/>
    <x v="2"/>
    <x v="1"/>
    <n v="0"/>
    <n v="0"/>
    <n v="0"/>
    <n v="0"/>
    <n v="0"/>
    <n v="0"/>
    <n v="0"/>
    <n v="0"/>
    <n v="0"/>
    <m/>
    <n v="78.2"/>
  </r>
  <r>
    <s v="USR-100951"/>
    <d v="2025-03-30T00:00:00"/>
    <x v="1"/>
    <x v="1"/>
    <x v="0"/>
    <x v="2"/>
    <x v="0"/>
    <n v="1"/>
    <n v="0"/>
    <n v="0"/>
    <n v="0"/>
    <n v="0"/>
    <n v="0"/>
    <n v="0"/>
    <n v="0"/>
    <n v="0"/>
    <m/>
    <n v="68.8"/>
  </r>
  <r>
    <s v="USR-100952"/>
    <d v="2025-04-13T00:00:00"/>
    <x v="1"/>
    <x v="1"/>
    <x v="1"/>
    <x v="5"/>
    <x v="2"/>
    <n v="1"/>
    <n v="0"/>
    <n v="0"/>
    <n v="0"/>
    <n v="0"/>
    <n v="0"/>
    <n v="0"/>
    <n v="0"/>
    <n v="0"/>
    <m/>
    <n v="57.1"/>
  </r>
  <r>
    <s v="USR-100953"/>
    <d v="2025-04-04T00:00:00"/>
    <x v="1"/>
    <x v="2"/>
    <x v="0"/>
    <x v="1"/>
    <x v="2"/>
    <n v="0"/>
    <n v="0"/>
    <n v="0"/>
    <n v="0"/>
    <n v="0"/>
    <n v="0"/>
    <n v="1"/>
    <n v="1"/>
    <n v="0"/>
    <m/>
    <n v="74.599999999999994"/>
  </r>
  <r>
    <s v="USR-100954"/>
    <d v="2025-04-03T00:00:00"/>
    <x v="1"/>
    <x v="0"/>
    <x v="0"/>
    <x v="3"/>
    <x v="1"/>
    <n v="1"/>
    <n v="0"/>
    <n v="0"/>
    <n v="0"/>
    <n v="0"/>
    <n v="0"/>
    <n v="1"/>
    <n v="1"/>
    <n v="0"/>
    <m/>
    <n v="64.099999999999994"/>
  </r>
  <r>
    <s v="USR-100955"/>
    <d v="2025-03-14T00:00:00"/>
    <x v="1"/>
    <x v="1"/>
    <x v="1"/>
    <x v="2"/>
    <x v="2"/>
    <n v="1"/>
    <n v="0"/>
    <n v="0"/>
    <n v="0"/>
    <n v="0"/>
    <n v="0"/>
    <n v="0"/>
    <n v="0"/>
    <n v="0"/>
    <m/>
    <n v="67.3"/>
  </r>
  <r>
    <s v="USR-100956"/>
    <d v="2025-01-14T00:00:00"/>
    <x v="1"/>
    <x v="1"/>
    <x v="1"/>
    <x v="3"/>
    <x v="1"/>
    <n v="0"/>
    <n v="0"/>
    <n v="0"/>
    <n v="0"/>
    <n v="0"/>
    <n v="0"/>
    <n v="2"/>
    <n v="1"/>
    <n v="0"/>
    <m/>
    <n v="41"/>
  </r>
  <r>
    <s v="USR-100957"/>
    <d v="2025-05-05T00:00:00"/>
    <x v="1"/>
    <x v="1"/>
    <x v="1"/>
    <x v="2"/>
    <x v="1"/>
    <n v="0"/>
    <n v="0"/>
    <n v="0"/>
    <n v="0"/>
    <n v="0"/>
    <n v="0"/>
    <n v="0"/>
    <n v="0"/>
    <n v="0"/>
    <m/>
    <n v="48.1"/>
  </r>
  <r>
    <s v="USR-100958"/>
    <d v="2025-05-02T00:00:00"/>
    <x v="1"/>
    <x v="1"/>
    <x v="0"/>
    <x v="4"/>
    <x v="1"/>
    <n v="0"/>
    <n v="0"/>
    <n v="0"/>
    <n v="0"/>
    <n v="0"/>
    <n v="0"/>
    <n v="1"/>
    <n v="1"/>
    <n v="0"/>
    <m/>
    <n v="60.8"/>
  </r>
  <r>
    <s v="USR-100959"/>
    <d v="2025-05-21T00:00:00"/>
    <x v="1"/>
    <x v="2"/>
    <x v="1"/>
    <x v="1"/>
    <x v="1"/>
    <n v="1"/>
    <n v="0"/>
    <n v="0"/>
    <n v="0"/>
    <n v="0"/>
    <n v="0"/>
    <n v="0"/>
    <n v="0"/>
    <n v="0"/>
    <m/>
    <n v="63.1"/>
  </r>
  <r>
    <s v="USR-100960"/>
    <d v="2025-05-16T00:00:00"/>
    <x v="1"/>
    <x v="0"/>
    <x v="1"/>
    <x v="3"/>
    <x v="2"/>
    <n v="1"/>
    <n v="0"/>
    <n v="0"/>
    <n v="0"/>
    <n v="0"/>
    <n v="0"/>
    <n v="2"/>
    <n v="1"/>
    <n v="0"/>
    <m/>
    <n v="49.7"/>
  </r>
  <r>
    <s v="USR-100961"/>
    <d v="2025-05-24T00:00:00"/>
    <x v="1"/>
    <x v="2"/>
    <x v="0"/>
    <x v="1"/>
    <x v="2"/>
    <n v="1"/>
    <n v="1"/>
    <n v="1"/>
    <n v="0"/>
    <n v="0"/>
    <n v="0"/>
    <n v="1"/>
    <n v="1"/>
    <n v="0"/>
    <m/>
    <n v="83.4"/>
  </r>
  <r>
    <s v="USR-100962"/>
    <d v="2025-03-18T00:00:00"/>
    <x v="1"/>
    <x v="2"/>
    <x v="1"/>
    <x v="1"/>
    <x v="0"/>
    <n v="1"/>
    <n v="0"/>
    <n v="0"/>
    <n v="0"/>
    <n v="0"/>
    <n v="0"/>
    <n v="0"/>
    <n v="0"/>
    <n v="0"/>
    <m/>
    <n v="75.900000000000006"/>
  </r>
  <r>
    <s v="USR-100963"/>
    <d v="2025-01-11T00:00:00"/>
    <x v="1"/>
    <x v="2"/>
    <x v="0"/>
    <x v="2"/>
    <x v="1"/>
    <n v="0"/>
    <n v="0"/>
    <n v="0"/>
    <n v="0"/>
    <n v="0"/>
    <n v="0"/>
    <n v="1"/>
    <n v="1"/>
    <n v="0"/>
    <m/>
    <n v="71.8"/>
  </r>
  <r>
    <s v="USR-100964"/>
    <d v="2025-02-09T00:00:00"/>
    <x v="1"/>
    <x v="3"/>
    <x v="1"/>
    <x v="1"/>
    <x v="0"/>
    <n v="0"/>
    <n v="0"/>
    <n v="0"/>
    <n v="0"/>
    <n v="0"/>
    <n v="0"/>
    <n v="0"/>
    <n v="0"/>
    <n v="0"/>
    <m/>
    <n v="37.9"/>
  </r>
  <r>
    <s v="USR-100965"/>
    <d v="2025-03-01T00:00:00"/>
    <x v="1"/>
    <x v="0"/>
    <x v="0"/>
    <x v="4"/>
    <x v="1"/>
    <n v="1"/>
    <n v="0"/>
    <n v="0"/>
    <n v="0"/>
    <n v="0"/>
    <n v="0"/>
    <n v="0"/>
    <n v="0"/>
    <n v="0"/>
    <m/>
    <n v="59.8"/>
  </r>
  <r>
    <s v="USR-100966"/>
    <d v="2025-05-07T00:00:00"/>
    <x v="1"/>
    <x v="0"/>
    <x v="1"/>
    <x v="1"/>
    <x v="0"/>
    <n v="0"/>
    <n v="0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x v="1"/>
    <n v="1"/>
    <n v="0"/>
    <n v="0"/>
    <n v="0"/>
    <n v="0"/>
    <n v="0"/>
    <n v="0"/>
    <n v="0"/>
    <n v="0"/>
    <m/>
    <n v="59"/>
  </r>
  <r>
    <s v="USR-100968"/>
    <d v="2025-02-26T00:00:00"/>
    <x v="1"/>
    <x v="1"/>
    <x v="1"/>
    <x v="1"/>
    <x v="2"/>
    <n v="1"/>
    <n v="0"/>
    <n v="0"/>
    <n v="0"/>
    <n v="0"/>
    <n v="0"/>
    <n v="0"/>
    <n v="0"/>
    <n v="0"/>
    <m/>
    <n v="80.099999999999994"/>
  </r>
  <r>
    <s v="USR-100969"/>
    <d v="2025-03-23T00:00:00"/>
    <x v="1"/>
    <x v="3"/>
    <x v="1"/>
    <x v="4"/>
    <x v="1"/>
    <n v="0"/>
    <n v="0"/>
    <n v="0"/>
    <n v="0"/>
    <n v="0"/>
    <n v="0"/>
    <n v="0"/>
    <n v="0"/>
    <n v="0"/>
    <m/>
    <n v="64.3"/>
  </r>
  <r>
    <s v="USR-100970"/>
    <d v="2025-04-25T00:00:00"/>
    <x v="1"/>
    <x v="3"/>
    <x v="0"/>
    <x v="4"/>
    <x v="1"/>
    <n v="0"/>
    <n v="0"/>
    <n v="0"/>
    <n v="0"/>
    <n v="0"/>
    <n v="0"/>
    <n v="1"/>
    <n v="1"/>
    <n v="0"/>
    <m/>
    <n v="57.4"/>
  </r>
  <r>
    <s v="USR-100971"/>
    <d v="2025-05-10T00:00:00"/>
    <x v="1"/>
    <x v="0"/>
    <x v="0"/>
    <x v="4"/>
    <x v="1"/>
    <n v="1"/>
    <n v="1"/>
    <n v="1"/>
    <n v="0"/>
    <n v="0"/>
    <n v="0"/>
    <n v="0"/>
    <n v="0"/>
    <n v="0"/>
    <m/>
    <n v="83.6"/>
  </r>
  <r>
    <s v="USR-100972"/>
    <d v="2025-04-22T00:00:00"/>
    <x v="1"/>
    <x v="2"/>
    <x v="1"/>
    <x v="2"/>
    <x v="2"/>
    <n v="0"/>
    <n v="0"/>
    <n v="0"/>
    <n v="0"/>
    <n v="0"/>
    <n v="0"/>
    <n v="0"/>
    <n v="0"/>
    <n v="0"/>
    <m/>
    <n v="45.8"/>
  </r>
  <r>
    <s v="USR-100973"/>
    <d v="2025-02-18T00:00:00"/>
    <x v="1"/>
    <x v="1"/>
    <x v="1"/>
    <x v="3"/>
    <x v="0"/>
    <n v="1"/>
    <n v="1"/>
    <n v="1"/>
    <n v="0"/>
    <n v="0"/>
    <n v="0"/>
    <n v="0"/>
    <n v="0"/>
    <n v="0"/>
    <m/>
    <n v="64.3"/>
  </r>
  <r>
    <s v="USR-100974"/>
    <d v="2025-01-26T00:00:00"/>
    <x v="1"/>
    <x v="3"/>
    <x v="1"/>
    <x v="2"/>
    <x v="2"/>
    <n v="1"/>
    <n v="1"/>
    <n v="1"/>
    <n v="0"/>
    <n v="0"/>
    <n v="0"/>
    <n v="0"/>
    <n v="0"/>
    <n v="0"/>
    <m/>
    <n v="80.5"/>
  </r>
  <r>
    <s v="USR-100975"/>
    <d v="2025-04-28T00:00:00"/>
    <x v="1"/>
    <x v="0"/>
    <x v="1"/>
    <x v="1"/>
    <x v="1"/>
    <n v="1"/>
    <n v="0"/>
    <n v="0"/>
    <n v="0"/>
    <n v="0"/>
    <n v="0"/>
    <n v="0"/>
    <n v="0"/>
    <n v="0"/>
    <m/>
    <n v="46.3"/>
  </r>
  <r>
    <s v="USR-100976"/>
    <d v="2025-04-02T00:00:00"/>
    <x v="1"/>
    <x v="3"/>
    <x v="0"/>
    <x v="0"/>
    <x v="0"/>
    <n v="1"/>
    <n v="0"/>
    <n v="0"/>
    <n v="0"/>
    <n v="0"/>
    <n v="0"/>
    <n v="0"/>
    <n v="0"/>
    <n v="0"/>
    <m/>
    <n v="71.599999999999994"/>
  </r>
  <r>
    <s v="USR-100977"/>
    <d v="2025-04-12T00:00:00"/>
    <x v="1"/>
    <x v="3"/>
    <x v="0"/>
    <x v="0"/>
    <x v="2"/>
    <n v="1"/>
    <n v="1"/>
    <n v="0"/>
    <n v="0"/>
    <n v="0"/>
    <n v="0"/>
    <n v="0"/>
    <n v="0"/>
    <n v="0"/>
    <m/>
    <n v="57.8"/>
  </r>
  <r>
    <s v="USR-100978"/>
    <d v="2025-01-03T00:00:00"/>
    <x v="1"/>
    <x v="1"/>
    <x v="0"/>
    <x v="0"/>
    <x v="0"/>
    <n v="1"/>
    <n v="1"/>
    <n v="1"/>
    <n v="0"/>
    <n v="0"/>
    <n v="0"/>
    <n v="1"/>
    <n v="1"/>
    <n v="0"/>
    <m/>
    <n v="57.8"/>
  </r>
  <r>
    <s v="USR-100979"/>
    <d v="2025-05-08T00:00:00"/>
    <x v="1"/>
    <x v="0"/>
    <x v="1"/>
    <x v="2"/>
    <x v="1"/>
    <n v="1"/>
    <n v="0"/>
    <n v="0"/>
    <n v="0"/>
    <n v="0"/>
    <n v="0"/>
    <n v="0"/>
    <n v="0"/>
    <n v="0"/>
    <m/>
    <n v="38.299999999999997"/>
  </r>
  <r>
    <s v="USR-100980"/>
    <d v="2025-02-20T00:00:00"/>
    <x v="1"/>
    <x v="0"/>
    <x v="1"/>
    <x v="3"/>
    <x v="2"/>
    <n v="1"/>
    <n v="0"/>
    <n v="0"/>
    <n v="0"/>
    <n v="0"/>
    <n v="0"/>
    <n v="1"/>
    <n v="1"/>
    <n v="0"/>
    <m/>
    <n v="66.099999999999994"/>
  </r>
  <r>
    <s v="USR-100981"/>
    <d v="2025-03-17T00:00:00"/>
    <x v="1"/>
    <x v="0"/>
    <x v="0"/>
    <x v="2"/>
    <x v="2"/>
    <n v="1"/>
    <n v="0"/>
    <n v="0"/>
    <n v="0"/>
    <n v="0"/>
    <n v="0"/>
    <n v="0"/>
    <n v="0"/>
    <n v="0"/>
    <m/>
    <n v="66.5"/>
  </r>
  <r>
    <s v="USR-100982"/>
    <d v="2025-04-10T00:00:00"/>
    <x v="1"/>
    <x v="3"/>
    <x v="0"/>
    <x v="0"/>
    <x v="1"/>
    <n v="1"/>
    <n v="0"/>
    <n v="0"/>
    <n v="0"/>
    <n v="0"/>
    <n v="0"/>
    <n v="3"/>
    <n v="1"/>
    <n v="0"/>
    <m/>
    <n v="51.5"/>
  </r>
  <r>
    <s v="USR-100983"/>
    <d v="2025-05-08T00:00:00"/>
    <x v="1"/>
    <x v="0"/>
    <x v="0"/>
    <x v="3"/>
    <x v="1"/>
    <n v="1"/>
    <n v="0"/>
    <n v="0"/>
    <n v="0"/>
    <n v="0"/>
    <n v="0"/>
    <n v="0"/>
    <n v="0"/>
    <n v="0"/>
    <m/>
    <n v="59.9"/>
  </r>
  <r>
    <s v="USR-100984"/>
    <d v="2025-04-19T00:00:00"/>
    <x v="1"/>
    <x v="1"/>
    <x v="1"/>
    <x v="2"/>
    <x v="0"/>
    <n v="1"/>
    <n v="0"/>
    <n v="0"/>
    <n v="0"/>
    <n v="0"/>
    <n v="0"/>
    <n v="0"/>
    <n v="0"/>
    <n v="0"/>
    <m/>
    <n v="58.8"/>
  </r>
  <r>
    <s v="USR-100985"/>
    <d v="2025-01-01T00:00:00"/>
    <x v="1"/>
    <x v="3"/>
    <x v="2"/>
    <x v="2"/>
    <x v="0"/>
    <n v="1"/>
    <n v="0"/>
    <n v="0"/>
    <n v="0"/>
    <n v="0"/>
    <n v="0"/>
    <n v="0"/>
    <n v="0"/>
    <n v="0"/>
    <m/>
    <n v="69.599999999999994"/>
  </r>
  <r>
    <s v="USR-100986"/>
    <d v="2025-03-10T00:00:00"/>
    <x v="1"/>
    <x v="2"/>
    <x v="1"/>
    <x v="2"/>
    <x v="1"/>
    <n v="1"/>
    <n v="0"/>
    <n v="0"/>
    <n v="0"/>
    <n v="0"/>
    <n v="0"/>
    <n v="0"/>
    <n v="0"/>
    <n v="0"/>
    <m/>
    <n v="77.5"/>
  </r>
  <r>
    <s v="USR-100987"/>
    <d v="2025-03-10T00:00:00"/>
    <x v="1"/>
    <x v="2"/>
    <x v="2"/>
    <x v="4"/>
    <x v="2"/>
    <n v="0"/>
    <n v="0"/>
    <n v="0"/>
    <n v="0"/>
    <n v="0"/>
    <n v="0"/>
    <n v="2"/>
    <n v="1"/>
    <n v="0"/>
    <m/>
    <n v="57.5"/>
  </r>
  <r>
    <s v="USR-100988"/>
    <d v="2025-04-19T00:00:00"/>
    <x v="1"/>
    <x v="1"/>
    <x v="2"/>
    <x v="0"/>
    <x v="0"/>
    <n v="1"/>
    <n v="0"/>
    <n v="0"/>
    <n v="0"/>
    <n v="0"/>
    <n v="0"/>
    <n v="0"/>
    <n v="0"/>
    <n v="0"/>
    <m/>
    <n v="64.2"/>
  </r>
  <r>
    <s v="USR-100989"/>
    <d v="2025-04-11T00:00:00"/>
    <x v="1"/>
    <x v="1"/>
    <x v="0"/>
    <x v="1"/>
    <x v="1"/>
    <n v="0"/>
    <n v="0"/>
    <n v="0"/>
    <n v="0"/>
    <n v="0"/>
    <n v="0"/>
    <n v="0"/>
    <n v="0"/>
    <n v="0"/>
    <m/>
    <n v="60"/>
  </r>
  <r>
    <s v="USR-100990"/>
    <d v="2025-04-10T00:00:00"/>
    <x v="1"/>
    <x v="2"/>
    <x v="1"/>
    <x v="1"/>
    <x v="0"/>
    <n v="1"/>
    <n v="0"/>
    <n v="0"/>
    <n v="0"/>
    <n v="0"/>
    <n v="0"/>
    <n v="1"/>
    <n v="1"/>
    <n v="0"/>
    <m/>
    <n v="43.7"/>
  </r>
  <r>
    <s v="USR-100991"/>
    <d v="2025-01-13T00:00:00"/>
    <x v="1"/>
    <x v="1"/>
    <x v="0"/>
    <x v="4"/>
    <x v="1"/>
    <n v="1"/>
    <n v="0"/>
    <n v="0"/>
    <n v="0"/>
    <n v="0"/>
    <n v="0"/>
    <n v="0"/>
    <n v="0"/>
    <n v="0"/>
    <m/>
    <n v="64.900000000000006"/>
  </r>
  <r>
    <s v="USR-100992"/>
    <d v="2025-03-28T00:00:00"/>
    <x v="1"/>
    <x v="3"/>
    <x v="0"/>
    <x v="1"/>
    <x v="1"/>
    <n v="1"/>
    <n v="1"/>
    <n v="0"/>
    <n v="0"/>
    <n v="0"/>
    <n v="0"/>
    <n v="0"/>
    <n v="0"/>
    <n v="0"/>
    <m/>
    <n v="45.5"/>
  </r>
  <r>
    <s v="USR-100993"/>
    <d v="2025-01-29T00:00:00"/>
    <x v="1"/>
    <x v="2"/>
    <x v="1"/>
    <x v="2"/>
    <x v="1"/>
    <n v="1"/>
    <n v="1"/>
    <n v="1"/>
    <n v="1"/>
    <n v="1772.97"/>
    <n v="1496.19"/>
    <n v="0"/>
    <n v="0"/>
    <n v="0"/>
    <n v="8"/>
    <n v="61.2"/>
  </r>
  <r>
    <s v="USR-100994"/>
    <d v="2025-03-27T00:00:00"/>
    <x v="1"/>
    <x v="3"/>
    <x v="1"/>
    <x v="3"/>
    <x v="1"/>
    <n v="0"/>
    <n v="0"/>
    <n v="0"/>
    <n v="0"/>
    <n v="0"/>
    <n v="0"/>
    <n v="0"/>
    <n v="0"/>
    <n v="0"/>
    <m/>
    <n v="87.8"/>
  </r>
  <r>
    <s v="USR-100995"/>
    <d v="2025-03-20T00:00:00"/>
    <x v="1"/>
    <x v="2"/>
    <x v="2"/>
    <x v="4"/>
    <x v="1"/>
    <n v="0"/>
    <n v="0"/>
    <n v="0"/>
    <n v="0"/>
    <n v="0"/>
    <n v="0"/>
    <n v="0"/>
    <n v="0"/>
    <n v="0"/>
    <m/>
    <n v="86.4"/>
  </r>
  <r>
    <s v="USR-100996"/>
    <d v="2025-01-09T00:00:00"/>
    <x v="1"/>
    <x v="0"/>
    <x v="1"/>
    <x v="2"/>
    <x v="0"/>
    <n v="0"/>
    <n v="0"/>
    <n v="0"/>
    <n v="0"/>
    <n v="0"/>
    <n v="0"/>
    <n v="1"/>
    <n v="1"/>
    <n v="0"/>
    <m/>
    <n v="71.400000000000006"/>
  </r>
  <r>
    <s v="USR-100997"/>
    <d v="2025-04-25T00:00:00"/>
    <x v="1"/>
    <x v="1"/>
    <x v="1"/>
    <x v="4"/>
    <x v="1"/>
    <n v="1"/>
    <n v="1"/>
    <n v="1"/>
    <n v="1"/>
    <n v="218.66"/>
    <n v="218.66"/>
    <n v="0"/>
    <n v="0"/>
    <n v="1"/>
    <n v="8"/>
    <n v="72.2"/>
  </r>
  <r>
    <s v="USR-100998"/>
    <d v="2025-04-11T00:00:00"/>
    <x v="1"/>
    <x v="3"/>
    <x v="0"/>
    <x v="4"/>
    <x v="1"/>
    <n v="1"/>
    <n v="0"/>
    <n v="0"/>
    <n v="0"/>
    <n v="0"/>
    <n v="0"/>
    <n v="0"/>
    <n v="0"/>
    <n v="0"/>
    <m/>
    <n v="51.9"/>
  </r>
  <r>
    <s v="USR-100999"/>
    <d v="2025-02-05T00:00:00"/>
    <x v="1"/>
    <x v="2"/>
    <x v="1"/>
    <x v="4"/>
    <x v="0"/>
    <n v="1"/>
    <n v="1"/>
    <n v="1"/>
    <n v="0"/>
    <n v="0"/>
    <n v="0"/>
    <n v="0"/>
    <n v="0"/>
    <n v="0"/>
    <m/>
    <n v="70.3"/>
  </r>
  <r>
    <s v="USR-101000"/>
    <d v="2025-03-28T00:00:00"/>
    <x v="1"/>
    <x v="3"/>
    <x v="1"/>
    <x v="4"/>
    <x v="2"/>
    <n v="1"/>
    <n v="0"/>
    <n v="0"/>
    <n v="0"/>
    <n v="0"/>
    <n v="0"/>
    <n v="1"/>
    <n v="1"/>
    <n v="0"/>
    <m/>
    <n v="49.2"/>
  </r>
  <r>
    <s v="USR-101001"/>
    <d v="2025-05-14T00:00:00"/>
    <x v="1"/>
    <x v="3"/>
    <x v="1"/>
    <x v="3"/>
    <x v="1"/>
    <n v="0"/>
    <n v="0"/>
    <n v="0"/>
    <n v="0"/>
    <n v="0"/>
    <n v="0"/>
    <n v="0"/>
    <n v="0"/>
    <n v="0"/>
    <m/>
    <n v="52.2"/>
  </r>
  <r>
    <s v="USR-101002"/>
    <d v="2025-03-10T00:00:00"/>
    <x v="1"/>
    <x v="2"/>
    <x v="1"/>
    <x v="2"/>
    <x v="0"/>
    <n v="0"/>
    <n v="0"/>
    <n v="0"/>
    <n v="0"/>
    <n v="0"/>
    <n v="0"/>
    <n v="1"/>
    <n v="1"/>
    <n v="0"/>
    <m/>
    <n v="62.6"/>
  </r>
  <r>
    <s v="USR-101003"/>
    <d v="2025-04-09T00:00:00"/>
    <x v="1"/>
    <x v="2"/>
    <x v="0"/>
    <x v="2"/>
    <x v="1"/>
    <n v="1"/>
    <n v="1"/>
    <n v="0"/>
    <n v="0"/>
    <n v="0"/>
    <n v="0"/>
    <n v="0"/>
    <n v="0"/>
    <n v="0"/>
    <m/>
    <n v="100"/>
  </r>
  <r>
    <s v="USR-101004"/>
    <d v="2025-02-13T00:00:00"/>
    <x v="1"/>
    <x v="0"/>
    <x v="1"/>
    <x v="3"/>
    <x v="0"/>
    <n v="1"/>
    <n v="1"/>
    <n v="1"/>
    <n v="0"/>
    <n v="0"/>
    <n v="0"/>
    <n v="2"/>
    <n v="1"/>
    <n v="0"/>
    <m/>
    <n v="45.9"/>
  </r>
  <r>
    <s v="USR-101005"/>
    <d v="2025-05-03T00:00:00"/>
    <x v="1"/>
    <x v="2"/>
    <x v="1"/>
    <x v="0"/>
    <x v="1"/>
    <n v="1"/>
    <n v="1"/>
    <n v="1"/>
    <n v="0"/>
    <n v="0"/>
    <n v="0"/>
    <n v="0"/>
    <n v="0"/>
    <n v="0"/>
    <m/>
    <n v="80.7"/>
  </r>
  <r>
    <s v="USR-101006"/>
    <d v="2025-04-16T00:00:00"/>
    <x v="1"/>
    <x v="3"/>
    <x v="0"/>
    <x v="3"/>
    <x v="2"/>
    <n v="1"/>
    <n v="0"/>
    <n v="0"/>
    <n v="0"/>
    <n v="0"/>
    <n v="0"/>
    <n v="0"/>
    <n v="0"/>
    <n v="0"/>
    <m/>
    <n v="51.9"/>
  </r>
  <r>
    <s v="USR-101007"/>
    <d v="2025-04-30T00:00:00"/>
    <x v="1"/>
    <x v="0"/>
    <x v="1"/>
    <x v="2"/>
    <x v="2"/>
    <n v="1"/>
    <n v="0"/>
    <n v="0"/>
    <n v="0"/>
    <n v="0"/>
    <n v="0"/>
    <n v="0"/>
    <n v="0"/>
    <n v="0"/>
    <m/>
    <n v="68.900000000000006"/>
  </r>
  <r>
    <s v="USR-101008"/>
    <d v="2025-02-18T00:00:00"/>
    <x v="1"/>
    <x v="1"/>
    <x v="0"/>
    <x v="1"/>
    <x v="1"/>
    <n v="1"/>
    <n v="0"/>
    <n v="0"/>
    <n v="0"/>
    <n v="0"/>
    <n v="0"/>
    <n v="0"/>
    <n v="0"/>
    <n v="0"/>
    <m/>
    <n v="66"/>
  </r>
  <r>
    <s v="USR-101009"/>
    <d v="2025-05-22T00:00:00"/>
    <x v="1"/>
    <x v="1"/>
    <x v="0"/>
    <x v="3"/>
    <x v="0"/>
    <n v="0"/>
    <n v="0"/>
    <n v="0"/>
    <n v="0"/>
    <n v="0"/>
    <n v="0"/>
    <n v="0"/>
    <n v="0"/>
    <n v="0"/>
    <m/>
    <n v="63.1"/>
  </r>
  <r>
    <s v="USR-101010"/>
    <d v="2025-05-21T00:00:00"/>
    <x v="1"/>
    <x v="3"/>
    <x v="0"/>
    <x v="1"/>
    <x v="1"/>
    <n v="0"/>
    <n v="0"/>
    <n v="0"/>
    <n v="0"/>
    <n v="0"/>
    <n v="0"/>
    <n v="0"/>
    <n v="0"/>
    <n v="0"/>
    <m/>
    <n v="56"/>
  </r>
  <r>
    <s v="USR-101011"/>
    <d v="2025-04-10T00:00:00"/>
    <x v="1"/>
    <x v="2"/>
    <x v="0"/>
    <x v="1"/>
    <x v="1"/>
    <n v="1"/>
    <n v="0"/>
    <n v="0"/>
    <n v="0"/>
    <n v="0"/>
    <n v="0"/>
    <n v="1"/>
    <n v="1"/>
    <n v="0"/>
    <m/>
    <n v="65.7"/>
  </r>
  <r>
    <s v="USR-101012"/>
    <d v="2025-01-07T00:00:00"/>
    <x v="1"/>
    <x v="0"/>
    <x v="0"/>
    <x v="1"/>
    <x v="2"/>
    <n v="1"/>
    <n v="1"/>
    <n v="1"/>
    <n v="1"/>
    <n v="1938.31"/>
    <n v="1496.19"/>
    <n v="1"/>
    <n v="1"/>
    <n v="0"/>
    <n v="9"/>
    <n v="60.9"/>
  </r>
  <r>
    <s v="USR-101013"/>
    <d v="2025-02-03T00:00:00"/>
    <x v="1"/>
    <x v="3"/>
    <x v="0"/>
    <x v="4"/>
    <x v="1"/>
    <n v="0"/>
    <n v="0"/>
    <n v="0"/>
    <n v="0"/>
    <n v="0"/>
    <n v="0"/>
    <n v="0"/>
    <n v="0"/>
    <n v="0"/>
    <m/>
    <n v="45.5"/>
  </r>
  <r>
    <s v="USR-101014"/>
    <d v="2025-05-18T00:00:00"/>
    <x v="1"/>
    <x v="0"/>
    <x v="1"/>
    <x v="2"/>
    <x v="1"/>
    <n v="1"/>
    <n v="0"/>
    <n v="0"/>
    <n v="0"/>
    <n v="0"/>
    <n v="0"/>
    <n v="0"/>
    <n v="0"/>
    <n v="0"/>
    <m/>
    <n v="50"/>
  </r>
  <r>
    <s v="USR-101015"/>
    <d v="2025-01-31T00:00:00"/>
    <x v="1"/>
    <x v="0"/>
    <x v="1"/>
    <x v="3"/>
    <x v="1"/>
    <n v="1"/>
    <n v="0"/>
    <n v="0"/>
    <n v="0"/>
    <n v="0"/>
    <n v="0"/>
    <n v="0"/>
    <n v="0"/>
    <n v="0"/>
    <m/>
    <n v="72.099999999999994"/>
  </r>
  <r>
    <s v="USR-101016"/>
    <d v="2025-01-16T00:00:00"/>
    <x v="1"/>
    <x v="3"/>
    <x v="0"/>
    <x v="1"/>
    <x v="0"/>
    <n v="1"/>
    <n v="0"/>
    <n v="0"/>
    <n v="0"/>
    <n v="0"/>
    <n v="0"/>
    <n v="0"/>
    <n v="0"/>
    <n v="0"/>
    <m/>
    <n v="76.3"/>
  </r>
  <r>
    <s v="USR-101017"/>
    <d v="2025-05-14T00:00:00"/>
    <x v="1"/>
    <x v="2"/>
    <x v="1"/>
    <x v="2"/>
    <x v="0"/>
    <n v="1"/>
    <n v="1"/>
    <n v="0"/>
    <n v="0"/>
    <n v="0"/>
    <n v="0"/>
    <n v="1"/>
    <n v="1"/>
    <n v="0"/>
    <m/>
    <n v="54.8"/>
  </r>
  <r>
    <s v="USR-101018"/>
    <d v="2025-04-01T00:00:00"/>
    <x v="1"/>
    <x v="3"/>
    <x v="1"/>
    <x v="5"/>
    <x v="0"/>
    <n v="1"/>
    <n v="0"/>
    <n v="0"/>
    <n v="0"/>
    <n v="0"/>
    <n v="0"/>
    <n v="0"/>
    <n v="0"/>
    <n v="0"/>
    <m/>
    <n v="63.6"/>
  </r>
  <r>
    <s v="USR-101019"/>
    <d v="2025-04-23T00:00:00"/>
    <x v="1"/>
    <x v="3"/>
    <x v="1"/>
    <x v="1"/>
    <x v="1"/>
    <n v="1"/>
    <n v="0"/>
    <n v="0"/>
    <n v="0"/>
    <n v="0"/>
    <n v="0"/>
    <n v="0"/>
    <n v="0"/>
    <n v="0"/>
    <m/>
    <n v="68.8"/>
  </r>
  <r>
    <s v="USR-101020"/>
    <d v="2025-03-02T00:00:00"/>
    <x v="1"/>
    <x v="3"/>
    <x v="0"/>
    <x v="2"/>
    <x v="0"/>
    <n v="1"/>
    <n v="0"/>
    <n v="0"/>
    <n v="0"/>
    <n v="0"/>
    <n v="0"/>
    <n v="0"/>
    <n v="0"/>
    <n v="0"/>
    <m/>
    <n v="63.2"/>
  </r>
  <r>
    <s v="USR-101021"/>
    <d v="2025-01-02T00:00:00"/>
    <x v="1"/>
    <x v="2"/>
    <x v="1"/>
    <x v="2"/>
    <x v="0"/>
    <n v="0"/>
    <n v="0"/>
    <n v="0"/>
    <n v="0"/>
    <n v="0"/>
    <n v="0"/>
    <n v="0"/>
    <n v="0"/>
    <n v="0"/>
    <m/>
    <n v="45"/>
  </r>
  <r>
    <s v="USR-101022"/>
    <d v="2025-05-04T00:00:00"/>
    <x v="1"/>
    <x v="3"/>
    <x v="1"/>
    <x v="1"/>
    <x v="1"/>
    <n v="1"/>
    <n v="0"/>
    <n v="0"/>
    <n v="0"/>
    <n v="0"/>
    <n v="0"/>
    <n v="0"/>
    <n v="0"/>
    <n v="0"/>
    <m/>
    <n v="77.400000000000006"/>
  </r>
  <r>
    <s v="USR-101023"/>
    <d v="2025-01-16T00:00:00"/>
    <x v="1"/>
    <x v="2"/>
    <x v="0"/>
    <x v="2"/>
    <x v="0"/>
    <n v="0"/>
    <n v="0"/>
    <n v="0"/>
    <n v="0"/>
    <n v="0"/>
    <n v="0"/>
    <n v="0"/>
    <n v="0"/>
    <n v="0"/>
    <m/>
    <n v="53.1"/>
  </r>
  <r>
    <s v="USR-101024"/>
    <d v="2025-02-11T00:00:00"/>
    <x v="1"/>
    <x v="1"/>
    <x v="2"/>
    <x v="2"/>
    <x v="2"/>
    <n v="0"/>
    <n v="0"/>
    <n v="0"/>
    <n v="0"/>
    <n v="0"/>
    <n v="0"/>
    <n v="0"/>
    <n v="0"/>
    <n v="0"/>
    <m/>
    <n v="74"/>
  </r>
  <r>
    <s v="USR-101025"/>
    <d v="2025-04-03T00:00:00"/>
    <x v="1"/>
    <x v="0"/>
    <x v="1"/>
    <x v="4"/>
    <x v="2"/>
    <n v="1"/>
    <n v="1"/>
    <n v="1"/>
    <n v="1"/>
    <n v="1906.23"/>
    <n v="1496.19"/>
    <n v="0"/>
    <n v="0"/>
    <n v="0"/>
    <n v="4"/>
    <n v="84.6"/>
  </r>
  <r>
    <s v="USR-101026"/>
    <d v="2025-03-26T00:00:00"/>
    <x v="1"/>
    <x v="2"/>
    <x v="1"/>
    <x v="3"/>
    <x v="1"/>
    <n v="1"/>
    <n v="0"/>
    <n v="0"/>
    <n v="0"/>
    <n v="0"/>
    <n v="0"/>
    <n v="0"/>
    <n v="0"/>
    <n v="0"/>
    <m/>
    <n v="57"/>
  </r>
  <r>
    <s v="USR-101027"/>
    <d v="2025-05-16T00:00:00"/>
    <x v="1"/>
    <x v="3"/>
    <x v="1"/>
    <x v="0"/>
    <x v="2"/>
    <n v="0"/>
    <n v="0"/>
    <n v="0"/>
    <n v="0"/>
    <n v="0"/>
    <n v="0"/>
    <n v="0"/>
    <n v="0"/>
    <n v="0"/>
    <m/>
    <n v="46.3"/>
  </r>
  <r>
    <s v="USR-101028"/>
    <d v="2025-04-20T00:00:00"/>
    <x v="1"/>
    <x v="1"/>
    <x v="1"/>
    <x v="4"/>
    <x v="1"/>
    <n v="0"/>
    <n v="0"/>
    <n v="0"/>
    <n v="0"/>
    <n v="0"/>
    <n v="0"/>
    <n v="1"/>
    <n v="1"/>
    <n v="0"/>
    <m/>
    <n v="64.400000000000006"/>
  </r>
  <r>
    <s v="USR-101029"/>
    <d v="2025-04-15T00:00:00"/>
    <x v="1"/>
    <x v="1"/>
    <x v="1"/>
    <x v="2"/>
    <x v="1"/>
    <n v="1"/>
    <n v="0"/>
    <n v="0"/>
    <n v="0"/>
    <n v="0"/>
    <n v="0"/>
    <n v="2"/>
    <n v="1"/>
    <n v="0"/>
    <m/>
    <n v="61.9"/>
  </r>
  <r>
    <s v="USR-101030"/>
    <d v="2025-01-24T00:00:00"/>
    <x v="1"/>
    <x v="0"/>
    <x v="1"/>
    <x v="1"/>
    <x v="2"/>
    <n v="1"/>
    <n v="1"/>
    <n v="1"/>
    <n v="0"/>
    <n v="0"/>
    <n v="0"/>
    <n v="0"/>
    <n v="0"/>
    <n v="0"/>
    <m/>
    <n v="93.7"/>
  </r>
  <r>
    <s v="USR-101031"/>
    <d v="2025-04-11T00:00:00"/>
    <x v="1"/>
    <x v="3"/>
    <x v="1"/>
    <x v="3"/>
    <x v="0"/>
    <n v="0"/>
    <n v="0"/>
    <n v="0"/>
    <n v="0"/>
    <n v="0"/>
    <n v="0"/>
    <n v="0"/>
    <n v="0"/>
    <n v="0"/>
    <m/>
    <n v="61.6"/>
  </r>
  <r>
    <s v="USR-101032"/>
    <d v="2025-05-19T00:00:00"/>
    <x v="1"/>
    <x v="0"/>
    <x v="1"/>
    <x v="2"/>
    <x v="1"/>
    <n v="1"/>
    <n v="0"/>
    <n v="0"/>
    <n v="0"/>
    <n v="0"/>
    <n v="0"/>
    <n v="0"/>
    <n v="0"/>
    <n v="0"/>
    <m/>
    <n v="72.2"/>
  </r>
  <r>
    <s v="USR-101033"/>
    <d v="2025-01-14T00:00:00"/>
    <x v="1"/>
    <x v="0"/>
    <x v="1"/>
    <x v="1"/>
    <x v="0"/>
    <n v="0"/>
    <n v="0"/>
    <n v="0"/>
    <n v="0"/>
    <n v="0"/>
    <n v="0"/>
    <n v="0"/>
    <n v="0"/>
    <n v="0"/>
    <m/>
    <n v="69.5"/>
  </r>
  <r>
    <s v="USR-101034"/>
    <d v="2025-02-28T00:00:00"/>
    <x v="1"/>
    <x v="2"/>
    <x v="0"/>
    <x v="1"/>
    <x v="0"/>
    <n v="0"/>
    <n v="0"/>
    <n v="0"/>
    <n v="0"/>
    <n v="0"/>
    <n v="0"/>
    <n v="0"/>
    <n v="0"/>
    <n v="0"/>
    <m/>
    <n v="59.7"/>
  </r>
  <r>
    <s v="USR-101035"/>
    <d v="2025-05-18T00:00:00"/>
    <x v="1"/>
    <x v="2"/>
    <x v="2"/>
    <x v="2"/>
    <x v="0"/>
    <n v="1"/>
    <n v="0"/>
    <n v="0"/>
    <n v="0"/>
    <n v="0"/>
    <n v="0"/>
    <n v="0"/>
    <n v="0"/>
    <n v="0"/>
    <m/>
    <n v="73.900000000000006"/>
  </r>
  <r>
    <s v="USR-101036"/>
    <d v="2025-01-04T00:00:00"/>
    <x v="1"/>
    <x v="0"/>
    <x v="1"/>
    <x v="4"/>
    <x v="1"/>
    <n v="0"/>
    <n v="0"/>
    <n v="0"/>
    <n v="0"/>
    <n v="0"/>
    <n v="0"/>
    <n v="0"/>
    <n v="0"/>
    <n v="0"/>
    <m/>
    <n v="41.5"/>
  </r>
  <r>
    <s v="USR-101037"/>
    <d v="2025-01-16T00:00:00"/>
    <x v="1"/>
    <x v="1"/>
    <x v="1"/>
    <x v="4"/>
    <x v="2"/>
    <n v="1"/>
    <n v="0"/>
    <n v="0"/>
    <n v="0"/>
    <n v="0"/>
    <n v="0"/>
    <n v="0"/>
    <n v="0"/>
    <n v="0"/>
    <m/>
    <n v="82.8"/>
  </r>
  <r>
    <s v="USR-101038"/>
    <d v="2025-03-14T00:00:00"/>
    <x v="1"/>
    <x v="1"/>
    <x v="1"/>
    <x v="4"/>
    <x v="2"/>
    <n v="1"/>
    <n v="0"/>
    <n v="0"/>
    <n v="0"/>
    <n v="0"/>
    <n v="0"/>
    <n v="3"/>
    <n v="1"/>
    <n v="0"/>
    <m/>
    <n v="70.2"/>
  </r>
  <r>
    <s v="USR-101039"/>
    <d v="2025-01-23T00:00:00"/>
    <x v="1"/>
    <x v="2"/>
    <x v="1"/>
    <x v="2"/>
    <x v="0"/>
    <n v="1"/>
    <n v="0"/>
    <n v="0"/>
    <n v="0"/>
    <n v="0"/>
    <n v="0"/>
    <n v="1"/>
    <n v="1"/>
    <n v="0"/>
    <m/>
    <n v="69.400000000000006"/>
  </r>
  <r>
    <s v="USR-101040"/>
    <d v="2025-02-03T00:00:00"/>
    <x v="1"/>
    <x v="0"/>
    <x v="0"/>
    <x v="1"/>
    <x v="0"/>
    <n v="1"/>
    <n v="0"/>
    <n v="0"/>
    <n v="0"/>
    <n v="0"/>
    <n v="0"/>
    <n v="0"/>
    <n v="0"/>
    <n v="0"/>
    <m/>
    <n v="60.4"/>
  </r>
  <r>
    <s v="USR-101041"/>
    <d v="2025-05-16T00:00:00"/>
    <x v="1"/>
    <x v="2"/>
    <x v="1"/>
    <x v="3"/>
    <x v="1"/>
    <n v="1"/>
    <n v="0"/>
    <n v="0"/>
    <n v="0"/>
    <n v="0"/>
    <n v="0"/>
    <n v="0"/>
    <n v="0"/>
    <n v="0"/>
    <m/>
    <n v="45.7"/>
  </r>
  <r>
    <s v="USR-101042"/>
    <d v="2025-01-11T00:00:00"/>
    <x v="1"/>
    <x v="1"/>
    <x v="1"/>
    <x v="1"/>
    <x v="0"/>
    <n v="0"/>
    <n v="0"/>
    <n v="0"/>
    <n v="0"/>
    <n v="0"/>
    <n v="0"/>
    <n v="1"/>
    <n v="1"/>
    <n v="0"/>
    <m/>
    <n v="42.2"/>
  </r>
  <r>
    <s v="USR-101043"/>
    <d v="2025-05-25T00:00:00"/>
    <x v="1"/>
    <x v="0"/>
    <x v="0"/>
    <x v="1"/>
    <x v="1"/>
    <n v="0"/>
    <n v="0"/>
    <n v="0"/>
    <n v="0"/>
    <n v="0"/>
    <n v="0"/>
    <n v="2"/>
    <n v="1"/>
    <n v="0"/>
    <m/>
    <n v="61.9"/>
  </r>
  <r>
    <s v="USR-101044"/>
    <d v="2025-05-08T00:00:00"/>
    <x v="1"/>
    <x v="2"/>
    <x v="1"/>
    <x v="2"/>
    <x v="2"/>
    <n v="0"/>
    <n v="0"/>
    <n v="0"/>
    <n v="0"/>
    <n v="0"/>
    <n v="0"/>
    <n v="0"/>
    <n v="0"/>
    <n v="0"/>
    <m/>
    <n v="44.9"/>
  </r>
  <r>
    <s v="USR-101045"/>
    <d v="2025-02-26T00:00:00"/>
    <x v="1"/>
    <x v="2"/>
    <x v="0"/>
    <x v="5"/>
    <x v="0"/>
    <n v="1"/>
    <n v="0"/>
    <n v="0"/>
    <n v="0"/>
    <n v="0"/>
    <n v="0"/>
    <n v="0"/>
    <n v="0"/>
    <n v="0"/>
    <m/>
    <n v="68"/>
  </r>
  <r>
    <s v="USR-101046"/>
    <d v="2025-03-30T00:00:00"/>
    <x v="1"/>
    <x v="0"/>
    <x v="1"/>
    <x v="2"/>
    <x v="1"/>
    <n v="1"/>
    <n v="0"/>
    <n v="0"/>
    <n v="0"/>
    <n v="0"/>
    <n v="0"/>
    <n v="0"/>
    <n v="0"/>
    <n v="0"/>
    <m/>
    <n v="61"/>
  </r>
  <r>
    <s v="USR-101047"/>
    <d v="2025-04-13T00:00:00"/>
    <x v="1"/>
    <x v="1"/>
    <x v="1"/>
    <x v="1"/>
    <x v="0"/>
    <n v="1"/>
    <n v="0"/>
    <n v="0"/>
    <n v="0"/>
    <n v="0"/>
    <n v="0"/>
    <n v="0"/>
    <n v="0"/>
    <n v="0"/>
    <m/>
    <n v="55"/>
  </r>
  <r>
    <s v="USR-101048"/>
    <d v="2025-02-20T00:00:00"/>
    <x v="1"/>
    <x v="2"/>
    <x v="3"/>
    <x v="2"/>
    <x v="0"/>
    <n v="1"/>
    <n v="0"/>
    <n v="0"/>
    <n v="0"/>
    <n v="0"/>
    <n v="0"/>
    <n v="0"/>
    <n v="0"/>
    <n v="0"/>
    <m/>
    <n v="63.1"/>
  </r>
  <r>
    <s v="USR-101049"/>
    <d v="2025-04-19T00:00:00"/>
    <x v="1"/>
    <x v="1"/>
    <x v="0"/>
    <x v="4"/>
    <x v="1"/>
    <n v="1"/>
    <n v="0"/>
    <n v="0"/>
    <n v="0"/>
    <n v="0"/>
    <n v="0"/>
    <n v="0"/>
    <n v="0"/>
    <n v="0"/>
    <m/>
    <n v="75.8"/>
  </r>
  <r>
    <s v="USR-101050"/>
    <d v="2025-03-22T00:00:00"/>
    <x v="1"/>
    <x v="3"/>
    <x v="1"/>
    <x v="2"/>
    <x v="1"/>
    <n v="1"/>
    <n v="1"/>
    <n v="0"/>
    <n v="0"/>
    <n v="0"/>
    <n v="0"/>
    <n v="1"/>
    <n v="1"/>
    <n v="0"/>
    <m/>
    <n v="43.8"/>
  </r>
  <r>
    <s v="USR-101051"/>
    <d v="2025-02-28T00:00:00"/>
    <x v="1"/>
    <x v="0"/>
    <x v="1"/>
    <x v="0"/>
    <x v="0"/>
    <n v="1"/>
    <n v="1"/>
    <n v="0"/>
    <n v="0"/>
    <n v="0"/>
    <n v="0"/>
    <n v="0"/>
    <n v="0"/>
    <n v="0"/>
    <m/>
    <n v="46.8"/>
  </r>
  <r>
    <s v="USR-101052"/>
    <d v="2025-05-24T00:00:00"/>
    <x v="1"/>
    <x v="2"/>
    <x v="1"/>
    <x v="4"/>
    <x v="1"/>
    <n v="1"/>
    <n v="1"/>
    <n v="1"/>
    <n v="0"/>
    <n v="0"/>
    <n v="0"/>
    <n v="0"/>
    <n v="0"/>
    <n v="0"/>
    <m/>
    <n v="97.4"/>
  </r>
  <r>
    <s v="USR-101053"/>
    <d v="2025-02-03T00:00:00"/>
    <x v="1"/>
    <x v="0"/>
    <x v="0"/>
    <x v="0"/>
    <x v="1"/>
    <n v="1"/>
    <n v="1"/>
    <n v="1"/>
    <n v="1"/>
    <n v="268.95999999999998"/>
    <n v="268.95999999999998"/>
    <n v="0"/>
    <n v="0"/>
    <n v="0"/>
    <n v="14"/>
    <n v="81"/>
  </r>
  <r>
    <s v="USR-101054"/>
    <d v="2025-01-27T00:00:00"/>
    <x v="1"/>
    <x v="3"/>
    <x v="1"/>
    <x v="1"/>
    <x v="1"/>
    <n v="1"/>
    <n v="0"/>
    <n v="0"/>
    <n v="0"/>
    <n v="0"/>
    <n v="0"/>
    <n v="1"/>
    <n v="1"/>
    <n v="0"/>
    <m/>
    <n v="58.9"/>
  </r>
  <r>
    <s v="USR-101055"/>
    <d v="2025-04-17T00:00:00"/>
    <x v="1"/>
    <x v="2"/>
    <x v="1"/>
    <x v="1"/>
    <x v="1"/>
    <n v="1"/>
    <n v="0"/>
    <n v="0"/>
    <n v="0"/>
    <n v="0"/>
    <n v="0"/>
    <n v="0"/>
    <n v="0"/>
    <n v="0"/>
    <m/>
    <n v="51.9"/>
  </r>
  <r>
    <s v="USR-101056"/>
    <d v="2025-02-06T00:00:00"/>
    <x v="1"/>
    <x v="1"/>
    <x v="1"/>
    <x v="4"/>
    <x v="1"/>
    <n v="1"/>
    <n v="1"/>
    <n v="0"/>
    <n v="0"/>
    <n v="0"/>
    <n v="0"/>
    <n v="0"/>
    <n v="0"/>
    <n v="0"/>
    <m/>
    <n v="61.7"/>
  </r>
  <r>
    <s v="USR-101057"/>
    <d v="2025-04-20T00:00:00"/>
    <x v="1"/>
    <x v="3"/>
    <x v="1"/>
    <x v="2"/>
    <x v="1"/>
    <n v="1"/>
    <n v="0"/>
    <n v="0"/>
    <n v="0"/>
    <n v="0"/>
    <n v="0"/>
    <n v="0"/>
    <n v="0"/>
    <n v="0"/>
    <m/>
    <n v="44.7"/>
  </r>
  <r>
    <s v="USR-101058"/>
    <d v="2025-05-06T00:00:00"/>
    <x v="1"/>
    <x v="0"/>
    <x v="1"/>
    <x v="2"/>
    <x v="0"/>
    <n v="0"/>
    <n v="0"/>
    <n v="0"/>
    <n v="0"/>
    <n v="0"/>
    <n v="0"/>
    <n v="0"/>
    <n v="0"/>
    <n v="0"/>
    <m/>
    <n v="63.2"/>
  </r>
  <r>
    <s v="USR-101059"/>
    <d v="2025-05-16T00:00:00"/>
    <x v="1"/>
    <x v="3"/>
    <x v="1"/>
    <x v="1"/>
    <x v="1"/>
    <n v="1"/>
    <n v="0"/>
    <n v="0"/>
    <n v="0"/>
    <n v="0"/>
    <n v="0"/>
    <n v="0"/>
    <n v="0"/>
    <n v="0"/>
    <m/>
    <n v="70.3"/>
  </r>
  <r>
    <s v="USR-101060"/>
    <d v="2025-03-02T00:00:00"/>
    <x v="1"/>
    <x v="3"/>
    <x v="1"/>
    <x v="2"/>
    <x v="2"/>
    <n v="1"/>
    <n v="1"/>
    <n v="0"/>
    <n v="0"/>
    <n v="0"/>
    <n v="0"/>
    <n v="1"/>
    <n v="1"/>
    <n v="0"/>
    <m/>
    <n v="83.1"/>
  </r>
  <r>
    <s v="USR-101061"/>
    <d v="2025-04-09T00:00:00"/>
    <x v="1"/>
    <x v="1"/>
    <x v="1"/>
    <x v="4"/>
    <x v="1"/>
    <n v="0"/>
    <n v="0"/>
    <n v="0"/>
    <n v="0"/>
    <n v="0"/>
    <n v="0"/>
    <n v="0"/>
    <n v="0"/>
    <n v="0"/>
    <m/>
    <n v="50.3"/>
  </r>
  <r>
    <s v="USR-101062"/>
    <d v="2025-01-26T00:00:00"/>
    <x v="1"/>
    <x v="2"/>
    <x v="1"/>
    <x v="2"/>
    <x v="1"/>
    <n v="1"/>
    <n v="1"/>
    <n v="1"/>
    <n v="1"/>
    <n v="437.09"/>
    <n v="437.09"/>
    <n v="2"/>
    <n v="1"/>
    <n v="1"/>
    <n v="1"/>
    <n v="58.2"/>
  </r>
  <r>
    <s v="USR-101063"/>
    <d v="2025-02-25T00:00:00"/>
    <x v="1"/>
    <x v="3"/>
    <x v="1"/>
    <x v="2"/>
    <x v="0"/>
    <n v="1"/>
    <n v="1"/>
    <n v="1"/>
    <n v="0"/>
    <n v="0"/>
    <n v="0"/>
    <n v="0"/>
    <n v="0"/>
    <n v="0"/>
    <m/>
    <n v="53.2"/>
  </r>
  <r>
    <s v="USR-101064"/>
    <d v="2025-01-07T00:00:00"/>
    <x v="1"/>
    <x v="2"/>
    <x v="1"/>
    <x v="1"/>
    <x v="2"/>
    <n v="0"/>
    <n v="0"/>
    <n v="0"/>
    <n v="0"/>
    <n v="0"/>
    <n v="0"/>
    <n v="0"/>
    <n v="0"/>
    <n v="0"/>
    <m/>
    <n v="36.4"/>
  </r>
  <r>
    <s v="USR-101065"/>
    <d v="2025-03-08T00:00:00"/>
    <x v="1"/>
    <x v="3"/>
    <x v="1"/>
    <x v="4"/>
    <x v="0"/>
    <n v="1"/>
    <n v="1"/>
    <n v="1"/>
    <n v="0"/>
    <n v="0"/>
    <n v="0"/>
    <n v="0"/>
    <n v="0"/>
    <n v="0"/>
    <m/>
    <n v="72.7"/>
  </r>
  <r>
    <s v="USR-101066"/>
    <d v="2025-05-22T00:00:00"/>
    <x v="1"/>
    <x v="2"/>
    <x v="1"/>
    <x v="3"/>
    <x v="1"/>
    <n v="1"/>
    <n v="0"/>
    <n v="0"/>
    <n v="0"/>
    <n v="0"/>
    <n v="0"/>
    <n v="1"/>
    <n v="1"/>
    <n v="0"/>
    <m/>
    <n v="86.7"/>
  </r>
  <r>
    <s v="USR-101067"/>
    <d v="2025-04-18T00:00:00"/>
    <x v="1"/>
    <x v="2"/>
    <x v="1"/>
    <x v="2"/>
    <x v="2"/>
    <n v="1"/>
    <n v="0"/>
    <n v="0"/>
    <n v="0"/>
    <n v="0"/>
    <n v="0"/>
    <n v="0"/>
    <n v="0"/>
    <n v="0"/>
    <m/>
    <n v="48.2"/>
  </r>
  <r>
    <s v="USR-101068"/>
    <d v="2025-02-24T00:00:00"/>
    <x v="1"/>
    <x v="1"/>
    <x v="1"/>
    <x v="3"/>
    <x v="0"/>
    <n v="0"/>
    <n v="0"/>
    <n v="0"/>
    <n v="0"/>
    <n v="0"/>
    <n v="0"/>
    <n v="1"/>
    <n v="1"/>
    <n v="0"/>
    <m/>
    <n v="57.6"/>
  </r>
  <r>
    <s v="USR-101069"/>
    <d v="2025-02-11T00:00:00"/>
    <x v="1"/>
    <x v="0"/>
    <x v="1"/>
    <x v="1"/>
    <x v="1"/>
    <n v="1"/>
    <n v="1"/>
    <n v="1"/>
    <n v="0"/>
    <n v="0"/>
    <n v="0"/>
    <n v="0"/>
    <n v="0"/>
    <n v="0"/>
    <m/>
    <n v="75.7"/>
  </r>
  <r>
    <s v="USR-101070"/>
    <d v="2025-03-11T00:00:00"/>
    <x v="1"/>
    <x v="1"/>
    <x v="0"/>
    <x v="2"/>
    <x v="1"/>
    <n v="1"/>
    <n v="0"/>
    <n v="0"/>
    <n v="0"/>
    <n v="0"/>
    <n v="0"/>
    <n v="2"/>
    <n v="1"/>
    <n v="0"/>
    <m/>
    <n v="48.6"/>
  </r>
  <r>
    <s v="USR-101071"/>
    <d v="2025-04-11T00:00:00"/>
    <x v="1"/>
    <x v="2"/>
    <x v="2"/>
    <x v="3"/>
    <x v="1"/>
    <n v="1"/>
    <n v="1"/>
    <n v="1"/>
    <n v="0"/>
    <n v="0"/>
    <n v="0"/>
    <n v="0"/>
    <n v="0"/>
    <n v="0"/>
    <m/>
    <n v="72"/>
  </r>
  <r>
    <s v="USR-101072"/>
    <d v="2025-03-11T00:00:00"/>
    <x v="1"/>
    <x v="0"/>
    <x v="1"/>
    <x v="1"/>
    <x v="1"/>
    <n v="0"/>
    <n v="0"/>
    <n v="0"/>
    <n v="0"/>
    <n v="0"/>
    <n v="0"/>
    <n v="0"/>
    <n v="0"/>
    <n v="0"/>
    <m/>
    <n v="72.2"/>
  </r>
  <r>
    <s v="USR-101073"/>
    <d v="2025-05-22T00:00:00"/>
    <x v="1"/>
    <x v="2"/>
    <x v="1"/>
    <x v="3"/>
    <x v="1"/>
    <n v="1"/>
    <n v="0"/>
    <n v="0"/>
    <n v="0"/>
    <n v="0"/>
    <n v="0"/>
    <n v="1"/>
    <n v="1"/>
    <n v="0"/>
    <m/>
    <m/>
  </r>
  <r>
    <s v="USR-101074"/>
    <d v="2025-02-22T00:00:00"/>
    <x v="1"/>
    <x v="3"/>
    <x v="0"/>
    <x v="1"/>
    <x v="1"/>
    <n v="1"/>
    <n v="1"/>
    <n v="1"/>
    <n v="1"/>
    <n v="331.53"/>
    <n v="331.53"/>
    <n v="2"/>
    <n v="1"/>
    <n v="0"/>
    <n v="4"/>
    <n v="56.8"/>
  </r>
  <r>
    <s v="USR-101075"/>
    <d v="2025-01-13T00:00:00"/>
    <x v="1"/>
    <x v="2"/>
    <x v="1"/>
    <x v="2"/>
    <x v="0"/>
    <n v="1"/>
    <n v="0"/>
    <n v="0"/>
    <n v="0"/>
    <n v="0"/>
    <n v="0"/>
    <n v="0"/>
    <n v="0"/>
    <n v="0"/>
    <m/>
    <n v="62.5"/>
  </r>
  <r>
    <s v="USR-101076"/>
    <d v="2025-05-19T00:00:00"/>
    <x v="1"/>
    <x v="3"/>
    <x v="1"/>
    <x v="1"/>
    <x v="1"/>
    <n v="1"/>
    <n v="0"/>
    <n v="0"/>
    <n v="0"/>
    <n v="0"/>
    <n v="0"/>
    <n v="0"/>
    <n v="0"/>
    <n v="0"/>
    <m/>
    <n v="63.4"/>
  </r>
  <r>
    <s v="USR-101077"/>
    <d v="2025-03-08T00:00:00"/>
    <x v="1"/>
    <x v="0"/>
    <x v="2"/>
    <x v="1"/>
    <x v="0"/>
    <n v="1"/>
    <n v="1"/>
    <n v="1"/>
    <n v="1"/>
    <n v="774.78"/>
    <n v="774.78"/>
    <n v="0"/>
    <n v="0"/>
    <n v="0"/>
    <n v="3"/>
    <n v="46.8"/>
  </r>
  <r>
    <s v="USR-101078"/>
    <d v="2025-04-20T00:00:00"/>
    <x v="1"/>
    <x v="3"/>
    <x v="1"/>
    <x v="1"/>
    <x v="1"/>
    <n v="1"/>
    <n v="1"/>
    <n v="1"/>
    <n v="1"/>
    <n v="422.02"/>
    <n v="422.02"/>
    <n v="0"/>
    <n v="0"/>
    <n v="0"/>
    <n v="8"/>
    <n v="86.5"/>
  </r>
  <r>
    <s v="USR-101079"/>
    <d v="2025-05-08T00:00:00"/>
    <x v="1"/>
    <x v="1"/>
    <x v="1"/>
    <x v="0"/>
    <x v="0"/>
    <n v="0"/>
    <n v="0"/>
    <n v="0"/>
    <n v="0"/>
    <n v="0"/>
    <n v="0"/>
    <n v="1"/>
    <n v="1"/>
    <n v="0"/>
    <m/>
    <n v="75.099999999999994"/>
  </r>
  <r>
    <s v="USR-101080"/>
    <d v="2025-05-10T00:00:00"/>
    <x v="1"/>
    <x v="3"/>
    <x v="1"/>
    <x v="1"/>
    <x v="0"/>
    <n v="1"/>
    <n v="0"/>
    <n v="0"/>
    <n v="0"/>
    <n v="0"/>
    <n v="0"/>
    <n v="0"/>
    <n v="0"/>
    <n v="0"/>
    <m/>
    <n v="64.5"/>
  </r>
  <r>
    <s v="USR-101081"/>
    <d v="2025-03-28T00:00:00"/>
    <x v="1"/>
    <x v="2"/>
    <x v="1"/>
    <x v="1"/>
    <x v="1"/>
    <n v="1"/>
    <n v="0"/>
    <n v="0"/>
    <n v="0"/>
    <n v="0"/>
    <n v="0"/>
    <n v="0"/>
    <n v="0"/>
    <n v="0"/>
    <m/>
    <n v="54.2"/>
  </r>
  <r>
    <s v="USR-101082"/>
    <d v="2025-04-30T00:00:00"/>
    <x v="1"/>
    <x v="2"/>
    <x v="1"/>
    <x v="2"/>
    <x v="2"/>
    <n v="1"/>
    <n v="1"/>
    <n v="1"/>
    <n v="0"/>
    <n v="0"/>
    <n v="0"/>
    <n v="0"/>
    <n v="0"/>
    <n v="0"/>
    <m/>
    <n v="84.1"/>
  </r>
  <r>
    <s v="USR-101083"/>
    <d v="2025-02-08T00:00:00"/>
    <x v="1"/>
    <x v="0"/>
    <x v="1"/>
    <x v="1"/>
    <x v="0"/>
    <n v="0"/>
    <n v="0"/>
    <n v="0"/>
    <n v="0"/>
    <n v="0"/>
    <n v="0"/>
    <n v="1"/>
    <n v="1"/>
    <n v="0"/>
    <m/>
    <n v="49.1"/>
  </r>
  <r>
    <s v="USR-101084"/>
    <d v="2025-03-07T00:00:00"/>
    <x v="1"/>
    <x v="3"/>
    <x v="1"/>
    <x v="3"/>
    <x v="2"/>
    <n v="0"/>
    <n v="0"/>
    <n v="0"/>
    <n v="0"/>
    <n v="0"/>
    <n v="0"/>
    <n v="0"/>
    <n v="0"/>
    <n v="0"/>
    <m/>
    <n v="92.7"/>
  </r>
  <r>
    <s v="USR-101085"/>
    <d v="2025-05-21T00:00:00"/>
    <x v="1"/>
    <x v="3"/>
    <x v="1"/>
    <x v="4"/>
    <x v="0"/>
    <n v="1"/>
    <n v="1"/>
    <n v="1"/>
    <n v="0"/>
    <n v="0"/>
    <n v="0"/>
    <n v="1"/>
    <n v="1"/>
    <n v="0"/>
    <m/>
    <n v="58.7"/>
  </r>
  <r>
    <s v="USR-101086"/>
    <d v="2025-04-12T00:00:00"/>
    <x v="1"/>
    <x v="3"/>
    <x v="1"/>
    <x v="4"/>
    <x v="1"/>
    <n v="1"/>
    <n v="1"/>
    <n v="1"/>
    <n v="0"/>
    <n v="0"/>
    <n v="0"/>
    <n v="0"/>
    <n v="0"/>
    <n v="0"/>
    <m/>
    <n v="59.3"/>
  </r>
  <r>
    <s v="USR-101087"/>
    <d v="2025-02-02T00:00:00"/>
    <x v="1"/>
    <x v="3"/>
    <x v="1"/>
    <x v="2"/>
    <x v="1"/>
    <n v="1"/>
    <n v="0"/>
    <n v="0"/>
    <n v="0"/>
    <n v="0"/>
    <n v="0"/>
    <n v="0"/>
    <n v="0"/>
    <n v="0"/>
    <m/>
    <n v="62"/>
  </r>
  <r>
    <s v="USR-101088"/>
    <d v="2025-04-22T00:00:00"/>
    <x v="1"/>
    <x v="0"/>
    <x v="2"/>
    <x v="3"/>
    <x v="1"/>
    <n v="1"/>
    <n v="1"/>
    <n v="1"/>
    <n v="0"/>
    <n v="0"/>
    <n v="0"/>
    <n v="1"/>
    <n v="1"/>
    <n v="0"/>
    <m/>
    <n v="60.3"/>
  </r>
  <r>
    <s v="USR-101089"/>
    <d v="2025-02-08T00:00:00"/>
    <x v="1"/>
    <x v="0"/>
    <x v="1"/>
    <x v="4"/>
    <x v="0"/>
    <n v="1"/>
    <n v="0"/>
    <n v="0"/>
    <n v="0"/>
    <n v="0"/>
    <n v="0"/>
    <n v="0"/>
    <n v="0"/>
    <n v="0"/>
    <m/>
    <n v="70.5"/>
  </r>
  <r>
    <s v="USR-101090"/>
    <d v="2025-01-24T00:00:00"/>
    <x v="1"/>
    <x v="3"/>
    <x v="0"/>
    <x v="0"/>
    <x v="1"/>
    <n v="1"/>
    <n v="0"/>
    <n v="0"/>
    <n v="0"/>
    <n v="0"/>
    <n v="0"/>
    <n v="0"/>
    <n v="0"/>
    <n v="0"/>
    <m/>
    <n v="36.799999999999997"/>
  </r>
  <r>
    <s v="USR-101091"/>
    <d v="2025-05-12T00:00:00"/>
    <x v="1"/>
    <x v="3"/>
    <x v="1"/>
    <x v="2"/>
    <x v="0"/>
    <n v="0"/>
    <n v="0"/>
    <n v="0"/>
    <n v="0"/>
    <n v="0"/>
    <n v="0"/>
    <n v="1"/>
    <n v="1"/>
    <n v="0"/>
    <m/>
    <n v="73.2"/>
  </r>
  <r>
    <s v="USR-101092"/>
    <d v="2025-03-30T00:00:00"/>
    <x v="1"/>
    <x v="0"/>
    <x v="1"/>
    <x v="1"/>
    <x v="0"/>
    <n v="0"/>
    <n v="0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x v="0"/>
    <n v="1"/>
    <n v="0"/>
    <n v="0"/>
    <n v="0"/>
    <n v="0"/>
    <n v="0"/>
    <n v="0"/>
    <n v="0"/>
    <n v="0"/>
    <m/>
    <n v="76.400000000000006"/>
  </r>
  <r>
    <s v="USR-101094"/>
    <d v="2025-03-21T00:00:00"/>
    <x v="1"/>
    <x v="3"/>
    <x v="2"/>
    <x v="0"/>
    <x v="0"/>
    <n v="0"/>
    <n v="0"/>
    <n v="0"/>
    <n v="0"/>
    <n v="0"/>
    <n v="0"/>
    <n v="0"/>
    <n v="0"/>
    <n v="0"/>
    <m/>
    <n v="46.4"/>
  </r>
  <r>
    <s v="USR-101095"/>
    <d v="2025-01-25T00:00:00"/>
    <x v="1"/>
    <x v="1"/>
    <x v="1"/>
    <x v="1"/>
    <x v="1"/>
    <n v="1"/>
    <n v="1"/>
    <n v="1"/>
    <n v="0"/>
    <n v="0"/>
    <n v="0"/>
    <n v="1"/>
    <n v="1"/>
    <n v="0"/>
    <m/>
    <n v="81.3"/>
  </r>
  <r>
    <s v="USR-101096"/>
    <d v="2025-01-12T00:00:00"/>
    <x v="1"/>
    <x v="3"/>
    <x v="2"/>
    <x v="4"/>
    <x v="1"/>
    <n v="1"/>
    <n v="1"/>
    <n v="1"/>
    <n v="0"/>
    <n v="0"/>
    <n v="0"/>
    <n v="0"/>
    <n v="0"/>
    <n v="0"/>
    <m/>
    <n v="55.3"/>
  </r>
  <r>
    <s v="USR-101097"/>
    <d v="2025-03-18T00:00:00"/>
    <x v="1"/>
    <x v="2"/>
    <x v="0"/>
    <x v="3"/>
    <x v="1"/>
    <n v="1"/>
    <n v="0"/>
    <n v="0"/>
    <n v="0"/>
    <n v="0"/>
    <n v="0"/>
    <n v="0"/>
    <n v="0"/>
    <n v="0"/>
    <m/>
    <n v="44.7"/>
  </r>
  <r>
    <s v="USR-101098"/>
    <d v="2025-03-26T00:00:00"/>
    <x v="1"/>
    <x v="2"/>
    <x v="1"/>
    <x v="2"/>
    <x v="0"/>
    <n v="1"/>
    <n v="0"/>
    <n v="0"/>
    <n v="0"/>
    <n v="0"/>
    <n v="0"/>
    <n v="0"/>
    <n v="0"/>
    <n v="0"/>
    <m/>
    <n v="67.2"/>
  </r>
  <r>
    <s v="USR-101099"/>
    <d v="2025-04-19T00:00:00"/>
    <x v="1"/>
    <x v="0"/>
    <x v="1"/>
    <x v="2"/>
    <x v="0"/>
    <n v="1"/>
    <n v="0"/>
    <n v="0"/>
    <n v="0"/>
    <n v="0"/>
    <n v="0"/>
    <n v="0"/>
    <n v="0"/>
    <n v="0"/>
    <m/>
    <m/>
  </r>
  <r>
    <s v="USR-101100"/>
    <d v="2025-04-17T00:00:00"/>
    <x v="1"/>
    <x v="2"/>
    <x v="1"/>
    <x v="1"/>
    <x v="2"/>
    <n v="1"/>
    <n v="1"/>
    <n v="1"/>
    <n v="0"/>
    <n v="0"/>
    <n v="0"/>
    <n v="1"/>
    <n v="1"/>
    <n v="0"/>
    <m/>
    <n v="70.8"/>
  </r>
  <r>
    <s v="USR-101101"/>
    <d v="2025-05-26T00:00:00"/>
    <x v="1"/>
    <x v="3"/>
    <x v="1"/>
    <x v="2"/>
    <x v="1"/>
    <n v="1"/>
    <n v="0"/>
    <n v="0"/>
    <n v="0"/>
    <n v="0"/>
    <n v="0"/>
    <n v="0"/>
    <n v="0"/>
    <n v="0"/>
    <m/>
    <n v="71.3"/>
  </r>
  <r>
    <s v="USR-101102"/>
    <d v="2025-04-14T00:00:00"/>
    <x v="1"/>
    <x v="0"/>
    <x v="1"/>
    <x v="4"/>
    <x v="2"/>
    <n v="1"/>
    <n v="1"/>
    <n v="1"/>
    <n v="0"/>
    <n v="0"/>
    <n v="0"/>
    <n v="0"/>
    <n v="0"/>
    <n v="0"/>
    <m/>
    <n v="69.400000000000006"/>
  </r>
  <r>
    <s v="USR-101103"/>
    <d v="2025-01-23T00:00:00"/>
    <x v="1"/>
    <x v="3"/>
    <x v="1"/>
    <x v="1"/>
    <x v="0"/>
    <n v="1"/>
    <n v="1"/>
    <n v="0"/>
    <n v="0"/>
    <n v="0"/>
    <n v="0"/>
    <n v="0"/>
    <n v="0"/>
    <n v="0"/>
    <m/>
    <n v="58.9"/>
  </r>
  <r>
    <s v="USR-101104"/>
    <d v="2025-01-06T00:00:00"/>
    <x v="1"/>
    <x v="2"/>
    <x v="1"/>
    <x v="3"/>
    <x v="1"/>
    <n v="0"/>
    <n v="0"/>
    <n v="0"/>
    <n v="0"/>
    <n v="0"/>
    <n v="0"/>
    <n v="0"/>
    <n v="0"/>
    <n v="0"/>
    <m/>
    <n v="70.7"/>
  </r>
  <r>
    <s v="USR-101105"/>
    <d v="2025-05-31T00:00:00"/>
    <x v="1"/>
    <x v="1"/>
    <x v="1"/>
    <x v="0"/>
    <x v="0"/>
    <n v="1"/>
    <n v="0"/>
    <n v="0"/>
    <n v="0"/>
    <n v="0"/>
    <n v="0"/>
    <n v="0"/>
    <n v="0"/>
    <n v="0"/>
    <m/>
    <n v="60.5"/>
  </r>
  <r>
    <s v="USR-101106"/>
    <d v="2025-05-19T00:00:00"/>
    <x v="1"/>
    <x v="0"/>
    <x v="1"/>
    <x v="1"/>
    <x v="0"/>
    <n v="1"/>
    <n v="1"/>
    <n v="1"/>
    <n v="0"/>
    <n v="0"/>
    <n v="0"/>
    <n v="0"/>
    <n v="0"/>
    <n v="0"/>
    <m/>
    <n v="77.3"/>
  </r>
  <r>
    <s v="USR-101107"/>
    <d v="2025-02-25T00:00:00"/>
    <x v="1"/>
    <x v="0"/>
    <x v="1"/>
    <x v="1"/>
    <x v="1"/>
    <n v="0"/>
    <n v="0"/>
    <n v="0"/>
    <n v="0"/>
    <n v="0"/>
    <n v="0"/>
    <n v="1"/>
    <n v="1"/>
    <n v="0"/>
    <m/>
    <n v="39.5"/>
  </r>
  <r>
    <s v="USR-101108"/>
    <d v="2025-01-10T00:00:00"/>
    <x v="1"/>
    <x v="3"/>
    <x v="2"/>
    <x v="1"/>
    <x v="0"/>
    <n v="1"/>
    <n v="0"/>
    <n v="0"/>
    <n v="0"/>
    <n v="0"/>
    <n v="0"/>
    <n v="0"/>
    <n v="0"/>
    <n v="0"/>
    <m/>
    <n v="68.099999999999994"/>
  </r>
  <r>
    <s v="USR-101109"/>
    <d v="2025-05-13T00:00:00"/>
    <x v="1"/>
    <x v="0"/>
    <x v="2"/>
    <x v="2"/>
    <x v="1"/>
    <n v="0"/>
    <n v="0"/>
    <n v="0"/>
    <n v="0"/>
    <n v="0"/>
    <n v="0"/>
    <n v="0"/>
    <n v="0"/>
    <n v="0"/>
    <m/>
    <n v="80.3"/>
  </r>
  <r>
    <s v="USR-101110"/>
    <d v="2025-04-27T00:00:00"/>
    <x v="1"/>
    <x v="1"/>
    <x v="0"/>
    <x v="1"/>
    <x v="2"/>
    <n v="1"/>
    <n v="0"/>
    <n v="0"/>
    <n v="0"/>
    <n v="0"/>
    <n v="0"/>
    <n v="0"/>
    <n v="0"/>
    <n v="0"/>
    <m/>
    <n v="77.7"/>
  </r>
  <r>
    <s v="USR-101111"/>
    <d v="2025-04-03T00:00:00"/>
    <x v="1"/>
    <x v="3"/>
    <x v="1"/>
    <x v="1"/>
    <x v="1"/>
    <n v="1"/>
    <n v="0"/>
    <n v="0"/>
    <n v="0"/>
    <n v="0"/>
    <n v="0"/>
    <n v="1"/>
    <n v="1"/>
    <n v="0"/>
    <m/>
    <n v="66.2"/>
  </r>
  <r>
    <s v="USR-101112"/>
    <d v="2025-03-26T00:00:00"/>
    <x v="1"/>
    <x v="3"/>
    <x v="1"/>
    <x v="1"/>
    <x v="1"/>
    <n v="1"/>
    <n v="1"/>
    <n v="1"/>
    <n v="0"/>
    <n v="0"/>
    <n v="0"/>
    <n v="1"/>
    <n v="1"/>
    <n v="0"/>
    <m/>
    <n v="43.9"/>
  </r>
  <r>
    <s v="USR-101113"/>
    <d v="2025-01-31T00:00:00"/>
    <x v="1"/>
    <x v="3"/>
    <x v="1"/>
    <x v="1"/>
    <x v="0"/>
    <n v="1"/>
    <n v="1"/>
    <n v="1"/>
    <n v="0"/>
    <n v="0"/>
    <n v="0"/>
    <n v="2"/>
    <n v="1"/>
    <n v="0"/>
    <m/>
    <n v="59.1"/>
  </r>
  <r>
    <s v="USR-101114"/>
    <d v="2025-01-25T00:00:00"/>
    <x v="1"/>
    <x v="3"/>
    <x v="1"/>
    <x v="4"/>
    <x v="1"/>
    <n v="1"/>
    <n v="1"/>
    <n v="1"/>
    <n v="1"/>
    <n v="416.94"/>
    <n v="416.94"/>
    <n v="1"/>
    <n v="1"/>
    <n v="0"/>
    <n v="11"/>
    <n v="67"/>
  </r>
  <r>
    <s v="USR-101115"/>
    <d v="2025-02-06T00:00:00"/>
    <x v="1"/>
    <x v="1"/>
    <x v="1"/>
    <x v="3"/>
    <x v="0"/>
    <n v="1"/>
    <n v="0"/>
    <n v="0"/>
    <n v="0"/>
    <n v="0"/>
    <n v="0"/>
    <n v="0"/>
    <n v="0"/>
    <n v="0"/>
    <m/>
    <n v="47.9"/>
  </r>
  <r>
    <s v="USR-101116"/>
    <d v="2025-03-10T00:00:00"/>
    <x v="1"/>
    <x v="2"/>
    <x v="1"/>
    <x v="2"/>
    <x v="1"/>
    <n v="1"/>
    <n v="1"/>
    <n v="0"/>
    <n v="0"/>
    <n v="0"/>
    <n v="0"/>
    <n v="0"/>
    <n v="0"/>
    <n v="0"/>
    <m/>
    <n v="41.5"/>
  </r>
  <r>
    <s v="USR-101117"/>
    <d v="2025-01-26T00:00:00"/>
    <x v="1"/>
    <x v="1"/>
    <x v="1"/>
    <x v="1"/>
    <x v="0"/>
    <n v="1"/>
    <n v="1"/>
    <n v="1"/>
    <n v="0"/>
    <n v="0"/>
    <n v="0"/>
    <n v="3"/>
    <n v="1"/>
    <n v="0"/>
    <m/>
    <n v="30.6"/>
  </r>
  <r>
    <s v="USR-101118"/>
    <d v="2025-01-01T00:00:00"/>
    <x v="1"/>
    <x v="2"/>
    <x v="1"/>
    <x v="2"/>
    <x v="1"/>
    <n v="1"/>
    <n v="1"/>
    <n v="0"/>
    <n v="0"/>
    <n v="0"/>
    <n v="0"/>
    <n v="0"/>
    <n v="0"/>
    <n v="0"/>
    <m/>
    <n v="91.5"/>
  </r>
  <r>
    <s v="USR-101119"/>
    <d v="2025-04-28T00:00:00"/>
    <x v="1"/>
    <x v="0"/>
    <x v="0"/>
    <x v="4"/>
    <x v="0"/>
    <n v="1"/>
    <n v="0"/>
    <n v="0"/>
    <n v="0"/>
    <n v="0"/>
    <n v="0"/>
    <n v="0"/>
    <n v="0"/>
    <n v="0"/>
    <m/>
    <n v="80.8"/>
  </r>
  <r>
    <s v="USR-101120"/>
    <d v="2025-04-04T00:00:00"/>
    <x v="1"/>
    <x v="0"/>
    <x v="1"/>
    <x v="1"/>
    <x v="2"/>
    <n v="1"/>
    <n v="0"/>
    <n v="0"/>
    <n v="0"/>
    <n v="0"/>
    <n v="0"/>
    <n v="0"/>
    <n v="0"/>
    <n v="0"/>
    <m/>
    <n v="68.099999999999994"/>
  </r>
  <r>
    <s v="USR-101121"/>
    <d v="2025-03-02T00:00:00"/>
    <x v="1"/>
    <x v="2"/>
    <x v="1"/>
    <x v="2"/>
    <x v="1"/>
    <n v="1"/>
    <n v="0"/>
    <n v="0"/>
    <n v="0"/>
    <n v="0"/>
    <n v="0"/>
    <n v="0"/>
    <n v="0"/>
    <n v="0"/>
    <m/>
    <n v="80.3"/>
  </r>
  <r>
    <s v="USR-101122"/>
    <d v="2025-03-19T00:00:00"/>
    <x v="1"/>
    <x v="3"/>
    <x v="2"/>
    <x v="1"/>
    <x v="0"/>
    <n v="1"/>
    <n v="0"/>
    <n v="0"/>
    <n v="0"/>
    <n v="0"/>
    <n v="0"/>
    <n v="0"/>
    <n v="0"/>
    <n v="0"/>
    <m/>
    <n v="44.4"/>
  </r>
  <r>
    <s v="USR-101123"/>
    <d v="2025-01-20T00:00:00"/>
    <x v="1"/>
    <x v="3"/>
    <x v="0"/>
    <x v="1"/>
    <x v="0"/>
    <n v="0"/>
    <n v="0"/>
    <n v="0"/>
    <n v="0"/>
    <n v="0"/>
    <n v="0"/>
    <n v="0"/>
    <n v="0"/>
    <n v="0"/>
    <m/>
    <n v="51.9"/>
  </r>
  <r>
    <s v="USR-101124"/>
    <d v="2025-04-03T00:00:00"/>
    <x v="1"/>
    <x v="2"/>
    <x v="1"/>
    <x v="2"/>
    <x v="1"/>
    <n v="1"/>
    <n v="1"/>
    <n v="0"/>
    <n v="0"/>
    <n v="0"/>
    <n v="0"/>
    <n v="0"/>
    <n v="0"/>
    <n v="0"/>
    <m/>
    <n v="49.8"/>
  </r>
  <r>
    <s v="USR-101125"/>
    <d v="2025-01-11T00:00:00"/>
    <x v="1"/>
    <x v="2"/>
    <x v="0"/>
    <x v="4"/>
    <x v="1"/>
    <n v="1"/>
    <n v="1"/>
    <n v="1"/>
    <n v="0"/>
    <n v="0"/>
    <n v="0"/>
    <n v="3"/>
    <n v="1"/>
    <n v="0"/>
    <m/>
    <n v="62.1"/>
  </r>
  <r>
    <s v="USR-101126"/>
    <d v="2025-02-02T00:00:00"/>
    <x v="1"/>
    <x v="1"/>
    <x v="0"/>
    <x v="4"/>
    <x v="0"/>
    <n v="1"/>
    <n v="0"/>
    <n v="0"/>
    <n v="0"/>
    <n v="0"/>
    <n v="0"/>
    <n v="0"/>
    <n v="0"/>
    <n v="0"/>
    <m/>
    <n v="91.3"/>
  </r>
  <r>
    <s v="USR-101127"/>
    <d v="2025-04-01T00:00:00"/>
    <x v="1"/>
    <x v="3"/>
    <x v="1"/>
    <x v="1"/>
    <x v="0"/>
    <n v="1"/>
    <n v="0"/>
    <n v="0"/>
    <n v="0"/>
    <n v="0"/>
    <n v="0"/>
    <n v="0"/>
    <n v="0"/>
    <n v="0"/>
    <m/>
    <n v="66.400000000000006"/>
  </r>
  <r>
    <s v="USR-101128"/>
    <d v="2025-05-22T00:00:00"/>
    <x v="1"/>
    <x v="2"/>
    <x v="1"/>
    <x v="1"/>
    <x v="0"/>
    <n v="1"/>
    <n v="0"/>
    <n v="0"/>
    <n v="0"/>
    <n v="0"/>
    <n v="0"/>
    <n v="0"/>
    <n v="0"/>
    <n v="0"/>
    <m/>
    <n v="41.5"/>
  </r>
  <r>
    <s v="USR-101129"/>
    <d v="2025-02-20T00:00:00"/>
    <x v="1"/>
    <x v="1"/>
    <x v="1"/>
    <x v="1"/>
    <x v="0"/>
    <n v="0"/>
    <n v="0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x v="1"/>
    <n v="1"/>
    <n v="0"/>
    <n v="0"/>
    <n v="0"/>
    <n v="0"/>
    <n v="0"/>
    <n v="0"/>
    <n v="0"/>
    <n v="0"/>
    <m/>
    <n v="63.2"/>
  </r>
  <r>
    <s v="USR-101131"/>
    <d v="2025-05-01T00:00:00"/>
    <x v="1"/>
    <x v="1"/>
    <x v="0"/>
    <x v="3"/>
    <x v="1"/>
    <n v="1"/>
    <n v="1"/>
    <n v="1"/>
    <n v="0"/>
    <n v="0"/>
    <n v="0"/>
    <n v="3"/>
    <n v="1"/>
    <n v="0"/>
    <m/>
    <n v="75.7"/>
  </r>
  <r>
    <s v="USR-101132"/>
    <d v="2025-01-06T00:00:00"/>
    <x v="1"/>
    <x v="1"/>
    <x v="1"/>
    <x v="2"/>
    <x v="0"/>
    <n v="0"/>
    <n v="0"/>
    <n v="0"/>
    <n v="0"/>
    <n v="0"/>
    <n v="0"/>
    <n v="0"/>
    <n v="0"/>
    <n v="0"/>
    <m/>
    <n v="62.9"/>
  </r>
  <r>
    <s v="USR-101133"/>
    <d v="2025-04-12T00:00:00"/>
    <x v="1"/>
    <x v="0"/>
    <x v="0"/>
    <x v="2"/>
    <x v="2"/>
    <n v="1"/>
    <n v="0"/>
    <n v="0"/>
    <n v="0"/>
    <n v="0"/>
    <n v="0"/>
    <n v="3"/>
    <n v="1"/>
    <n v="0"/>
    <m/>
    <n v="64.599999999999994"/>
  </r>
  <r>
    <s v="USR-101134"/>
    <d v="2025-04-18T00:00:00"/>
    <x v="1"/>
    <x v="0"/>
    <x v="1"/>
    <x v="5"/>
    <x v="0"/>
    <n v="1"/>
    <n v="0"/>
    <n v="0"/>
    <n v="0"/>
    <n v="0"/>
    <n v="0"/>
    <n v="0"/>
    <n v="0"/>
    <n v="0"/>
    <m/>
    <n v="76.599999999999994"/>
  </r>
  <r>
    <s v="USR-101135"/>
    <d v="2025-03-24T00:00:00"/>
    <x v="1"/>
    <x v="2"/>
    <x v="1"/>
    <x v="4"/>
    <x v="0"/>
    <n v="1"/>
    <n v="0"/>
    <n v="0"/>
    <n v="0"/>
    <n v="0"/>
    <n v="0"/>
    <n v="0"/>
    <n v="0"/>
    <n v="0"/>
    <m/>
    <n v="74.8"/>
  </r>
  <r>
    <s v="USR-101136"/>
    <d v="2025-03-18T00:00:00"/>
    <x v="1"/>
    <x v="2"/>
    <x v="0"/>
    <x v="0"/>
    <x v="2"/>
    <n v="1"/>
    <n v="0"/>
    <n v="0"/>
    <n v="0"/>
    <n v="0"/>
    <n v="0"/>
    <n v="2"/>
    <n v="1"/>
    <n v="0"/>
    <m/>
    <n v="38.1"/>
  </r>
  <r>
    <s v="USR-101137"/>
    <d v="2025-04-30T00:00:00"/>
    <x v="1"/>
    <x v="3"/>
    <x v="2"/>
    <x v="2"/>
    <x v="0"/>
    <n v="1"/>
    <n v="1"/>
    <n v="0"/>
    <n v="0"/>
    <n v="0"/>
    <n v="0"/>
    <n v="0"/>
    <n v="0"/>
    <n v="0"/>
    <m/>
    <n v="60.2"/>
  </r>
  <r>
    <s v="USR-101138"/>
    <d v="2025-01-25T00:00:00"/>
    <x v="1"/>
    <x v="1"/>
    <x v="1"/>
    <x v="0"/>
    <x v="1"/>
    <n v="1"/>
    <n v="1"/>
    <n v="0"/>
    <n v="0"/>
    <n v="0"/>
    <n v="0"/>
    <n v="0"/>
    <n v="0"/>
    <n v="0"/>
    <m/>
    <n v="73.5"/>
  </r>
  <r>
    <s v="USR-101139"/>
    <d v="2025-04-10T00:00:00"/>
    <x v="1"/>
    <x v="3"/>
    <x v="1"/>
    <x v="1"/>
    <x v="1"/>
    <n v="1"/>
    <n v="0"/>
    <n v="0"/>
    <n v="0"/>
    <n v="0"/>
    <n v="0"/>
    <n v="0"/>
    <n v="0"/>
    <n v="0"/>
    <m/>
    <n v="70.900000000000006"/>
  </r>
  <r>
    <s v="USR-101140"/>
    <d v="2025-01-10T00:00:00"/>
    <x v="1"/>
    <x v="1"/>
    <x v="1"/>
    <x v="4"/>
    <x v="1"/>
    <n v="1"/>
    <n v="0"/>
    <n v="0"/>
    <n v="0"/>
    <n v="0"/>
    <n v="0"/>
    <n v="0"/>
    <n v="0"/>
    <n v="0"/>
    <m/>
    <n v="63.7"/>
  </r>
  <r>
    <s v="USR-101141"/>
    <d v="2025-02-11T00:00:00"/>
    <x v="1"/>
    <x v="3"/>
    <x v="1"/>
    <x v="2"/>
    <x v="1"/>
    <n v="1"/>
    <n v="0"/>
    <n v="0"/>
    <n v="0"/>
    <n v="0"/>
    <n v="0"/>
    <n v="0"/>
    <n v="0"/>
    <n v="0"/>
    <m/>
    <n v="86.5"/>
  </r>
  <r>
    <s v="USR-101142"/>
    <d v="2025-05-01T00:00:00"/>
    <x v="1"/>
    <x v="2"/>
    <x v="1"/>
    <x v="4"/>
    <x v="0"/>
    <n v="1"/>
    <n v="1"/>
    <n v="1"/>
    <n v="1"/>
    <n v="921.72"/>
    <n v="921.72"/>
    <n v="3"/>
    <n v="1"/>
    <n v="0"/>
    <n v="7"/>
    <n v="74.599999999999994"/>
  </r>
  <r>
    <s v="USR-101143"/>
    <d v="2025-01-18T00:00:00"/>
    <x v="1"/>
    <x v="2"/>
    <x v="1"/>
    <x v="1"/>
    <x v="1"/>
    <n v="1"/>
    <n v="0"/>
    <n v="0"/>
    <n v="0"/>
    <n v="0"/>
    <n v="0"/>
    <n v="0"/>
    <n v="0"/>
    <n v="0"/>
    <m/>
    <n v="46.6"/>
  </r>
  <r>
    <s v="USR-101144"/>
    <d v="2025-01-02T00:00:00"/>
    <x v="1"/>
    <x v="0"/>
    <x v="1"/>
    <x v="2"/>
    <x v="1"/>
    <n v="0"/>
    <n v="0"/>
    <n v="0"/>
    <n v="0"/>
    <n v="0"/>
    <n v="0"/>
    <n v="0"/>
    <n v="0"/>
    <n v="0"/>
    <m/>
    <n v="61.2"/>
  </r>
  <r>
    <s v="USR-101145"/>
    <d v="2025-05-11T00:00:00"/>
    <x v="1"/>
    <x v="1"/>
    <x v="1"/>
    <x v="1"/>
    <x v="1"/>
    <n v="1"/>
    <n v="1"/>
    <n v="1"/>
    <n v="1"/>
    <n v="290.39"/>
    <n v="290.39"/>
    <n v="0"/>
    <n v="0"/>
    <n v="0"/>
    <n v="4"/>
    <n v="54.4"/>
  </r>
  <r>
    <s v="USR-101146"/>
    <d v="2025-03-22T00:00:00"/>
    <x v="1"/>
    <x v="0"/>
    <x v="1"/>
    <x v="3"/>
    <x v="1"/>
    <n v="1"/>
    <n v="1"/>
    <n v="1"/>
    <n v="0"/>
    <n v="0"/>
    <n v="0"/>
    <n v="0"/>
    <n v="0"/>
    <n v="0"/>
    <m/>
    <n v="72"/>
  </r>
  <r>
    <s v="USR-101147"/>
    <d v="2025-05-02T00:00:00"/>
    <x v="1"/>
    <x v="3"/>
    <x v="1"/>
    <x v="4"/>
    <x v="2"/>
    <n v="1"/>
    <n v="1"/>
    <n v="1"/>
    <n v="1"/>
    <n v="1858.85"/>
    <n v="1496.19"/>
    <n v="0"/>
    <n v="0"/>
    <n v="0"/>
    <n v="8"/>
    <n v="88.6"/>
  </r>
  <r>
    <s v="USR-101148"/>
    <d v="2025-05-26T00:00:00"/>
    <x v="1"/>
    <x v="2"/>
    <x v="0"/>
    <x v="5"/>
    <x v="0"/>
    <n v="1"/>
    <n v="0"/>
    <n v="0"/>
    <n v="0"/>
    <n v="0"/>
    <n v="0"/>
    <n v="0"/>
    <n v="0"/>
    <n v="0"/>
    <m/>
    <n v="77.599999999999994"/>
  </r>
  <r>
    <s v="USR-101149"/>
    <d v="2025-03-13T00:00:00"/>
    <x v="1"/>
    <x v="3"/>
    <x v="1"/>
    <x v="1"/>
    <x v="0"/>
    <n v="1"/>
    <n v="0"/>
    <n v="0"/>
    <n v="0"/>
    <n v="0"/>
    <n v="0"/>
    <n v="1"/>
    <n v="1"/>
    <n v="0"/>
    <m/>
    <n v="44.3"/>
  </r>
  <r>
    <s v="USR-101150"/>
    <d v="2025-05-17T00:00:00"/>
    <x v="1"/>
    <x v="3"/>
    <x v="0"/>
    <x v="2"/>
    <x v="1"/>
    <n v="1"/>
    <n v="1"/>
    <n v="0"/>
    <n v="0"/>
    <n v="0"/>
    <n v="0"/>
    <n v="0"/>
    <n v="0"/>
    <n v="0"/>
    <m/>
    <n v="49"/>
  </r>
  <r>
    <s v="USR-101151"/>
    <d v="2025-03-13T00:00:00"/>
    <x v="1"/>
    <x v="0"/>
    <x v="0"/>
    <x v="3"/>
    <x v="2"/>
    <n v="1"/>
    <n v="0"/>
    <n v="0"/>
    <n v="0"/>
    <n v="0"/>
    <n v="0"/>
    <n v="0"/>
    <n v="0"/>
    <n v="0"/>
    <m/>
    <n v="53.9"/>
  </r>
  <r>
    <s v="USR-101152"/>
    <d v="2025-02-11T00:00:00"/>
    <x v="1"/>
    <x v="2"/>
    <x v="0"/>
    <x v="1"/>
    <x v="0"/>
    <n v="1"/>
    <n v="0"/>
    <n v="0"/>
    <n v="0"/>
    <n v="0"/>
    <n v="0"/>
    <n v="1"/>
    <n v="1"/>
    <n v="0"/>
    <m/>
    <n v="69"/>
  </r>
  <r>
    <s v="USR-101153"/>
    <d v="2025-03-01T00:00:00"/>
    <x v="1"/>
    <x v="1"/>
    <x v="1"/>
    <x v="4"/>
    <x v="1"/>
    <n v="0"/>
    <n v="0"/>
    <n v="0"/>
    <n v="0"/>
    <n v="0"/>
    <n v="0"/>
    <n v="0"/>
    <n v="0"/>
    <n v="0"/>
    <m/>
    <n v="37.4"/>
  </r>
  <r>
    <s v="USR-101154"/>
    <d v="2025-04-15T00:00:00"/>
    <x v="1"/>
    <x v="1"/>
    <x v="1"/>
    <x v="1"/>
    <x v="0"/>
    <n v="0"/>
    <n v="0"/>
    <n v="0"/>
    <n v="0"/>
    <n v="0"/>
    <n v="0"/>
    <n v="0"/>
    <n v="0"/>
    <n v="0"/>
    <m/>
    <n v="59"/>
  </r>
  <r>
    <s v="USR-101155"/>
    <d v="2025-02-02T00:00:00"/>
    <x v="1"/>
    <x v="2"/>
    <x v="1"/>
    <x v="1"/>
    <x v="2"/>
    <n v="1"/>
    <n v="0"/>
    <n v="0"/>
    <n v="0"/>
    <n v="0"/>
    <n v="0"/>
    <n v="0"/>
    <n v="0"/>
    <n v="0"/>
    <m/>
    <n v="60.8"/>
  </r>
  <r>
    <s v="USR-101156"/>
    <d v="2025-05-19T00:00:00"/>
    <x v="1"/>
    <x v="3"/>
    <x v="1"/>
    <x v="0"/>
    <x v="1"/>
    <n v="1"/>
    <n v="0"/>
    <n v="0"/>
    <n v="0"/>
    <n v="0"/>
    <n v="0"/>
    <n v="0"/>
    <n v="0"/>
    <n v="0"/>
    <m/>
    <n v="57.5"/>
  </r>
  <r>
    <s v="USR-101157"/>
    <d v="2025-01-05T00:00:00"/>
    <x v="1"/>
    <x v="1"/>
    <x v="1"/>
    <x v="3"/>
    <x v="1"/>
    <n v="0"/>
    <n v="0"/>
    <n v="0"/>
    <n v="0"/>
    <n v="0"/>
    <n v="0"/>
    <n v="0"/>
    <n v="0"/>
    <n v="0"/>
    <m/>
    <n v="84.2"/>
  </r>
  <r>
    <s v="USR-101158"/>
    <d v="2025-03-08T00:00:00"/>
    <x v="1"/>
    <x v="3"/>
    <x v="1"/>
    <x v="2"/>
    <x v="1"/>
    <n v="1"/>
    <n v="1"/>
    <n v="0"/>
    <n v="0"/>
    <n v="0"/>
    <n v="0"/>
    <n v="0"/>
    <n v="0"/>
    <n v="0"/>
    <m/>
    <n v="27.4"/>
  </r>
  <r>
    <s v="USR-101159"/>
    <d v="2025-03-12T00:00:00"/>
    <x v="1"/>
    <x v="1"/>
    <x v="1"/>
    <x v="0"/>
    <x v="0"/>
    <n v="1"/>
    <n v="0"/>
    <n v="0"/>
    <n v="0"/>
    <n v="0"/>
    <n v="0"/>
    <n v="1"/>
    <n v="1"/>
    <n v="0"/>
    <m/>
    <n v="67.599999999999994"/>
  </r>
  <r>
    <s v="USR-101160"/>
    <d v="2025-01-24T00:00:00"/>
    <x v="1"/>
    <x v="1"/>
    <x v="1"/>
    <x v="1"/>
    <x v="1"/>
    <n v="0"/>
    <n v="0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x v="0"/>
    <n v="1"/>
    <n v="1"/>
    <n v="1"/>
    <n v="0"/>
    <n v="0"/>
    <n v="0"/>
    <n v="0"/>
    <n v="0"/>
    <n v="0"/>
    <m/>
    <n v="66.5"/>
  </r>
  <r>
    <s v="USR-101162"/>
    <d v="2025-03-27T00:00:00"/>
    <x v="1"/>
    <x v="3"/>
    <x v="1"/>
    <x v="2"/>
    <x v="1"/>
    <n v="1"/>
    <n v="0"/>
    <n v="0"/>
    <n v="0"/>
    <n v="0"/>
    <n v="0"/>
    <n v="0"/>
    <n v="0"/>
    <n v="0"/>
    <m/>
    <n v="38.200000000000003"/>
  </r>
  <r>
    <s v="USR-101163"/>
    <d v="2025-01-02T00:00:00"/>
    <x v="1"/>
    <x v="1"/>
    <x v="1"/>
    <x v="4"/>
    <x v="1"/>
    <n v="0"/>
    <n v="0"/>
    <n v="0"/>
    <n v="0"/>
    <n v="0"/>
    <n v="0"/>
    <n v="1"/>
    <n v="1"/>
    <n v="0"/>
    <m/>
    <n v="66.7"/>
  </r>
  <r>
    <s v="USR-101164"/>
    <d v="2025-02-24T00:00:00"/>
    <x v="1"/>
    <x v="0"/>
    <x v="1"/>
    <x v="2"/>
    <x v="1"/>
    <n v="0"/>
    <n v="0"/>
    <n v="0"/>
    <n v="0"/>
    <n v="0"/>
    <n v="0"/>
    <n v="1"/>
    <n v="1"/>
    <n v="0"/>
    <m/>
    <n v="73.7"/>
  </r>
  <r>
    <s v="USR-101165"/>
    <d v="2025-03-01T00:00:00"/>
    <x v="1"/>
    <x v="1"/>
    <x v="0"/>
    <x v="1"/>
    <x v="0"/>
    <n v="1"/>
    <n v="1"/>
    <n v="1"/>
    <n v="0"/>
    <n v="0"/>
    <n v="0"/>
    <n v="0"/>
    <n v="0"/>
    <n v="0"/>
    <m/>
    <n v="63.9"/>
  </r>
  <r>
    <s v="USR-101166"/>
    <d v="2025-03-26T00:00:00"/>
    <x v="1"/>
    <x v="3"/>
    <x v="2"/>
    <x v="1"/>
    <x v="0"/>
    <n v="1"/>
    <n v="0"/>
    <n v="0"/>
    <n v="0"/>
    <n v="0"/>
    <n v="0"/>
    <n v="1"/>
    <n v="1"/>
    <n v="0"/>
    <m/>
    <n v="82.6"/>
  </r>
  <r>
    <s v="USR-101167"/>
    <d v="2025-05-25T00:00:00"/>
    <x v="1"/>
    <x v="2"/>
    <x v="1"/>
    <x v="2"/>
    <x v="1"/>
    <n v="0"/>
    <n v="0"/>
    <n v="0"/>
    <n v="0"/>
    <n v="0"/>
    <n v="0"/>
    <n v="1"/>
    <n v="1"/>
    <n v="0"/>
    <m/>
    <n v="58.3"/>
  </r>
  <r>
    <s v="USR-101168"/>
    <d v="2025-02-25T00:00:00"/>
    <x v="1"/>
    <x v="1"/>
    <x v="1"/>
    <x v="3"/>
    <x v="2"/>
    <n v="1"/>
    <n v="1"/>
    <n v="1"/>
    <n v="1"/>
    <n v="1547.06"/>
    <n v="1496.19"/>
    <n v="0"/>
    <n v="0"/>
    <n v="1"/>
    <n v="2"/>
    <n v="72.900000000000006"/>
  </r>
  <r>
    <s v="USR-101169"/>
    <d v="2025-03-23T00:00:00"/>
    <x v="1"/>
    <x v="3"/>
    <x v="1"/>
    <x v="4"/>
    <x v="1"/>
    <n v="1"/>
    <n v="1"/>
    <n v="1"/>
    <n v="0"/>
    <n v="0"/>
    <n v="0"/>
    <n v="2"/>
    <n v="1"/>
    <n v="0"/>
    <m/>
    <n v="53.5"/>
  </r>
  <r>
    <s v="USR-101170"/>
    <d v="2025-04-21T00:00:00"/>
    <x v="1"/>
    <x v="1"/>
    <x v="1"/>
    <x v="3"/>
    <x v="1"/>
    <n v="1"/>
    <n v="0"/>
    <n v="0"/>
    <n v="0"/>
    <n v="0"/>
    <n v="0"/>
    <n v="0"/>
    <n v="0"/>
    <n v="0"/>
    <m/>
    <n v="54.8"/>
  </r>
  <r>
    <s v="USR-101171"/>
    <d v="2025-05-21T00:00:00"/>
    <x v="1"/>
    <x v="0"/>
    <x v="1"/>
    <x v="1"/>
    <x v="2"/>
    <n v="1"/>
    <n v="0"/>
    <n v="0"/>
    <n v="0"/>
    <n v="0"/>
    <n v="0"/>
    <n v="0"/>
    <n v="0"/>
    <n v="0"/>
    <m/>
    <n v="69.5"/>
  </r>
  <r>
    <s v="USR-101172"/>
    <d v="2025-04-25T00:00:00"/>
    <x v="1"/>
    <x v="0"/>
    <x v="0"/>
    <x v="4"/>
    <x v="1"/>
    <n v="1"/>
    <n v="0"/>
    <n v="0"/>
    <n v="0"/>
    <n v="0"/>
    <n v="0"/>
    <n v="1"/>
    <n v="1"/>
    <n v="0"/>
    <m/>
    <n v="71.3"/>
  </r>
  <r>
    <s v="USR-101173"/>
    <d v="2025-05-23T00:00:00"/>
    <x v="1"/>
    <x v="1"/>
    <x v="1"/>
    <x v="3"/>
    <x v="0"/>
    <n v="1"/>
    <n v="0"/>
    <n v="0"/>
    <n v="0"/>
    <n v="0"/>
    <n v="0"/>
    <n v="1"/>
    <n v="1"/>
    <n v="0"/>
    <m/>
    <n v="57.5"/>
  </r>
  <r>
    <s v="USR-101174"/>
    <d v="2025-03-18T00:00:00"/>
    <x v="1"/>
    <x v="3"/>
    <x v="1"/>
    <x v="0"/>
    <x v="1"/>
    <n v="1"/>
    <n v="0"/>
    <n v="0"/>
    <n v="0"/>
    <n v="0"/>
    <n v="0"/>
    <n v="4"/>
    <n v="1"/>
    <n v="0"/>
    <m/>
    <n v="50.9"/>
  </r>
  <r>
    <s v="USR-101175"/>
    <d v="2025-01-03T00:00:00"/>
    <x v="1"/>
    <x v="3"/>
    <x v="2"/>
    <x v="1"/>
    <x v="1"/>
    <n v="1"/>
    <n v="1"/>
    <n v="1"/>
    <n v="0"/>
    <n v="0"/>
    <n v="0"/>
    <n v="0"/>
    <n v="0"/>
    <n v="0"/>
    <m/>
    <n v="69.3"/>
  </r>
  <r>
    <s v="USR-101176"/>
    <d v="2025-02-08T00:00:00"/>
    <x v="1"/>
    <x v="1"/>
    <x v="0"/>
    <x v="1"/>
    <x v="1"/>
    <n v="1"/>
    <n v="0"/>
    <n v="0"/>
    <n v="0"/>
    <n v="0"/>
    <n v="0"/>
    <n v="0"/>
    <n v="0"/>
    <n v="0"/>
    <m/>
    <n v="50.1"/>
  </r>
  <r>
    <s v="USR-101177"/>
    <d v="2025-02-04T00:00:00"/>
    <x v="1"/>
    <x v="2"/>
    <x v="3"/>
    <x v="2"/>
    <x v="0"/>
    <n v="0"/>
    <n v="0"/>
    <n v="0"/>
    <n v="0"/>
    <n v="0"/>
    <n v="0"/>
    <n v="0"/>
    <n v="0"/>
    <n v="0"/>
    <m/>
    <n v="69.7"/>
  </r>
  <r>
    <s v="USR-101178"/>
    <d v="2025-01-16T00:00:00"/>
    <x v="1"/>
    <x v="0"/>
    <x v="1"/>
    <x v="2"/>
    <x v="1"/>
    <n v="0"/>
    <n v="0"/>
    <n v="0"/>
    <n v="0"/>
    <n v="0"/>
    <n v="0"/>
    <n v="0"/>
    <n v="0"/>
    <n v="0"/>
    <m/>
    <n v="63.5"/>
  </r>
  <r>
    <s v="USR-101179"/>
    <d v="2025-04-04T00:00:00"/>
    <x v="1"/>
    <x v="1"/>
    <x v="0"/>
    <x v="2"/>
    <x v="1"/>
    <n v="1"/>
    <n v="1"/>
    <n v="1"/>
    <n v="1"/>
    <n v="265.58999999999997"/>
    <n v="265.58999999999997"/>
    <n v="1"/>
    <n v="1"/>
    <n v="0"/>
    <n v="8"/>
    <n v="80.400000000000006"/>
  </r>
  <r>
    <s v="USR-101180"/>
    <d v="2025-01-23T00:00:00"/>
    <x v="1"/>
    <x v="0"/>
    <x v="0"/>
    <x v="2"/>
    <x v="1"/>
    <n v="0"/>
    <n v="0"/>
    <n v="0"/>
    <n v="0"/>
    <n v="0"/>
    <n v="0"/>
    <n v="0"/>
    <n v="0"/>
    <n v="0"/>
    <m/>
    <n v="58.9"/>
  </r>
  <r>
    <s v="USR-101181"/>
    <d v="2025-03-22T00:00:00"/>
    <x v="1"/>
    <x v="3"/>
    <x v="0"/>
    <x v="2"/>
    <x v="1"/>
    <n v="1"/>
    <n v="0"/>
    <n v="0"/>
    <n v="0"/>
    <n v="0"/>
    <n v="0"/>
    <n v="0"/>
    <n v="0"/>
    <n v="0"/>
    <m/>
    <n v="56.8"/>
  </r>
  <r>
    <s v="USR-101182"/>
    <d v="2025-02-02T00:00:00"/>
    <x v="1"/>
    <x v="2"/>
    <x v="2"/>
    <x v="4"/>
    <x v="2"/>
    <n v="0"/>
    <n v="0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x v="1"/>
    <n v="0"/>
    <n v="0"/>
    <n v="0"/>
    <n v="0"/>
    <n v="0"/>
    <n v="0"/>
    <n v="0"/>
    <n v="0"/>
    <n v="0"/>
    <m/>
    <n v="76.3"/>
  </r>
  <r>
    <s v="USR-101184"/>
    <d v="2025-05-27T00:00:00"/>
    <x v="1"/>
    <x v="1"/>
    <x v="1"/>
    <x v="1"/>
    <x v="0"/>
    <n v="1"/>
    <n v="0"/>
    <n v="0"/>
    <n v="0"/>
    <n v="0"/>
    <n v="0"/>
    <n v="0"/>
    <n v="0"/>
    <n v="0"/>
    <m/>
    <n v="56.9"/>
  </r>
  <r>
    <s v="USR-101185"/>
    <d v="2025-05-07T00:00:00"/>
    <x v="1"/>
    <x v="0"/>
    <x v="1"/>
    <x v="1"/>
    <x v="2"/>
    <n v="1"/>
    <n v="0"/>
    <n v="0"/>
    <n v="0"/>
    <n v="0"/>
    <n v="0"/>
    <n v="2"/>
    <n v="1"/>
    <n v="0"/>
    <m/>
    <n v="49.4"/>
  </r>
  <r>
    <s v="USR-101186"/>
    <d v="2025-05-08T00:00:00"/>
    <x v="1"/>
    <x v="0"/>
    <x v="0"/>
    <x v="2"/>
    <x v="0"/>
    <n v="1"/>
    <n v="0"/>
    <n v="0"/>
    <n v="0"/>
    <n v="0"/>
    <n v="0"/>
    <n v="0"/>
    <n v="0"/>
    <n v="0"/>
    <m/>
    <n v="86.7"/>
  </r>
  <r>
    <s v="USR-101187"/>
    <d v="2025-01-15T00:00:00"/>
    <x v="1"/>
    <x v="1"/>
    <x v="0"/>
    <x v="0"/>
    <x v="1"/>
    <n v="1"/>
    <n v="0"/>
    <n v="0"/>
    <n v="0"/>
    <n v="0"/>
    <n v="0"/>
    <n v="3"/>
    <n v="1"/>
    <n v="0"/>
    <m/>
    <n v="69"/>
  </r>
  <r>
    <s v="USR-101188"/>
    <d v="2025-01-18T00:00:00"/>
    <x v="1"/>
    <x v="0"/>
    <x v="1"/>
    <x v="2"/>
    <x v="1"/>
    <n v="0"/>
    <n v="0"/>
    <n v="0"/>
    <n v="0"/>
    <n v="0"/>
    <n v="0"/>
    <n v="0"/>
    <n v="0"/>
    <n v="0"/>
    <m/>
    <n v="84.5"/>
  </r>
  <r>
    <s v="USR-101189"/>
    <d v="2025-04-16T00:00:00"/>
    <x v="1"/>
    <x v="2"/>
    <x v="3"/>
    <x v="3"/>
    <x v="1"/>
    <n v="1"/>
    <n v="0"/>
    <n v="0"/>
    <n v="0"/>
    <n v="0"/>
    <n v="0"/>
    <n v="0"/>
    <n v="0"/>
    <n v="0"/>
    <m/>
    <n v="66.3"/>
  </r>
  <r>
    <s v="USR-101190"/>
    <d v="2025-02-16T00:00:00"/>
    <x v="1"/>
    <x v="2"/>
    <x v="0"/>
    <x v="2"/>
    <x v="1"/>
    <n v="0"/>
    <n v="0"/>
    <n v="0"/>
    <n v="0"/>
    <n v="0"/>
    <n v="0"/>
    <n v="0"/>
    <n v="0"/>
    <n v="0"/>
    <m/>
    <n v="52.2"/>
  </r>
  <r>
    <s v="USR-101191"/>
    <d v="2025-04-17T00:00:00"/>
    <x v="1"/>
    <x v="3"/>
    <x v="0"/>
    <x v="3"/>
    <x v="2"/>
    <n v="1"/>
    <n v="1"/>
    <n v="1"/>
    <n v="0"/>
    <n v="0"/>
    <n v="0"/>
    <n v="0"/>
    <n v="0"/>
    <n v="0"/>
    <m/>
    <n v="81.2"/>
  </r>
  <r>
    <s v="USR-101192"/>
    <d v="2025-04-30T00:00:00"/>
    <x v="1"/>
    <x v="3"/>
    <x v="1"/>
    <x v="1"/>
    <x v="0"/>
    <n v="0"/>
    <n v="0"/>
    <n v="0"/>
    <n v="0"/>
    <n v="0"/>
    <n v="0"/>
    <n v="0"/>
    <n v="0"/>
    <n v="0"/>
    <m/>
    <n v="53.9"/>
  </r>
  <r>
    <s v="USR-101193"/>
    <d v="2025-01-29T00:00:00"/>
    <x v="1"/>
    <x v="1"/>
    <x v="1"/>
    <x v="4"/>
    <x v="2"/>
    <n v="0"/>
    <n v="0"/>
    <n v="0"/>
    <n v="0"/>
    <n v="0"/>
    <n v="0"/>
    <n v="0"/>
    <n v="0"/>
    <n v="0"/>
    <m/>
    <n v="39.1"/>
  </r>
  <r>
    <s v="USR-101194"/>
    <d v="2025-01-11T00:00:00"/>
    <x v="1"/>
    <x v="0"/>
    <x v="1"/>
    <x v="4"/>
    <x v="0"/>
    <n v="0"/>
    <n v="0"/>
    <n v="0"/>
    <n v="0"/>
    <n v="0"/>
    <n v="0"/>
    <n v="0"/>
    <n v="0"/>
    <n v="0"/>
    <m/>
    <n v="57.3"/>
  </r>
  <r>
    <s v="USR-101195"/>
    <d v="2025-04-08T00:00:00"/>
    <x v="1"/>
    <x v="2"/>
    <x v="0"/>
    <x v="2"/>
    <x v="2"/>
    <n v="1"/>
    <n v="0"/>
    <n v="0"/>
    <n v="0"/>
    <n v="0"/>
    <n v="0"/>
    <n v="1"/>
    <n v="1"/>
    <n v="0"/>
    <m/>
    <n v="65.900000000000006"/>
  </r>
  <r>
    <s v="USR-101196"/>
    <d v="2025-02-22T00:00:00"/>
    <x v="1"/>
    <x v="0"/>
    <x v="3"/>
    <x v="4"/>
    <x v="1"/>
    <n v="1"/>
    <n v="0"/>
    <n v="0"/>
    <n v="0"/>
    <n v="0"/>
    <n v="0"/>
    <n v="1"/>
    <n v="1"/>
    <n v="0"/>
    <m/>
    <n v="34.200000000000003"/>
  </r>
  <r>
    <s v="USR-101197"/>
    <d v="2025-03-23T00:00:00"/>
    <x v="1"/>
    <x v="3"/>
    <x v="1"/>
    <x v="1"/>
    <x v="1"/>
    <n v="0"/>
    <n v="0"/>
    <n v="0"/>
    <n v="0"/>
    <n v="0"/>
    <n v="0"/>
    <n v="0"/>
    <n v="0"/>
    <n v="0"/>
    <m/>
    <n v="47.2"/>
  </r>
  <r>
    <s v="USR-101198"/>
    <d v="2025-05-23T00:00:00"/>
    <x v="1"/>
    <x v="3"/>
    <x v="2"/>
    <x v="2"/>
    <x v="1"/>
    <n v="1"/>
    <n v="0"/>
    <n v="0"/>
    <n v="0"/>
    <n v="0"/>
    <n v="0"/>
    <n v="1"/>
    <n v="1"/>
    <n v="0"/>
    <m/>
    <n v="55"/>
  </r>
  <r>
    <s v="USR-101199"/>
    <d v="2025-04-27T00:00:00"/>
    <x v="1"/>
    <x v="1"/>
    <x v="1"/>
    <x v="3"/>
    <x v="0"/>
    <n v="1"/>
    <n v="1"/>
    <n v="1"/>
    <n v="0"/>
    <n v="0"/>
    <n v="0"/>
    <n v="0"/>
    <n v="0"/>
    <n v="0"/>
    <m/>
    <n v="76.400000000000006"/>
  </r>
  <r>
    <s v="USR-101200"/>
    <d v="2025-05-26T00:00:00"/>
    <x v="1"/>
    <x v="0"/>
    <x v="1"/>
    <x v="3"/>
    <x v="1"/>
    <n v="1"/>
    <n v="0"/>
    <n v="0"/>
    <n v="0"/>
    <n v="0"/>
    <n v="0"/>
    <n v="0"/>
    <n v="0"/>
    <n v="0"/>
    <m/>
    <n v="70.8"/>
  </r>
  <r>
    <s v="USR-101201"/>
    <d v="2025-03-06T00:00:00"/>
    <x v="1"/>
    <x v="2"/>
    <x v="1"/>
    <x v="2"/>
    <x v="0"/>
    <n v="1"/>
    <n v="1"/>
    <n v="0"/>
    <n v="0"/>
    <n v="0"/>
    <n v="0"/>
    <n v="1"/>
    <n v="1"/>
    <n v="0"/>
    <m/>
    <n v="58"/>
  </r>
  <r>
    <s v="USR-101202"/>
    <d v="2025-04-03T00:00:00"/>
    <x v="1"/>
    <x v="1"/>
    <x v="1"/>
    <x v="1"/>
    <x v="0"/>
    <n v="1"/>
    <n v="1"/>
    <n v="1"/>
    <n v="0"/>
    <n v="0"/>
    <n v="0"/>
    <n v="1"/>
    <n v="1"/>
    <n v="0"/>
    <m/>
    <n v="70.8"/>
  </r>
  <r>
    <s v="USR-101203"/>
    <d v="2025-02-01T00:00:00"/>
    <x v="1"/>
    <x v="2"/>
    <x v="0"/>
    <x v="2"/>
    <x v="1"/>
    <n v="1"/>
    <n v="0"/>
    <n v="0"/>
    <n v="0"/>
    <n v="0"/>
    <n v="0"/>
    <n v="3"/>
    <n v="1"/>
    <n v="0"/>
    <m/>
    <n v="60"/>
  </r>
  <r>
    <s v="USR-101204"/>
    <d v="2025-05-01T00:00:00"/>
    <x v="1"/>
    <x v="1"/>
    <x v="1"/>
    <x v="3"/>
    <x v="2"/>
    <n v="1"/>
    <n v="1"/>
    <n v="1"/>
    <n v="0"/>
    <n v="0"/>
    <n v="0"/>
    <n v="3"/>
    <n v="1"/>
    <n v="0"/>
    <m/>
    <n v="58.1"/>
  </r>
  <r>
    <s v="USR-101205"/>
    <d v="2025-04-13T00:00:00"/>
    <x v="1"/>
    <x v="0"/>
    <x v="1"/>
    <x v="4"/>
    <x v="2"/>
    <n v="0"/>
    <n v="0"/>
    <n v="0"/>
    <n v="0"/>
    <n v="0"/>
    <n v="0"/>
    <n v="0"/>
    <n v="0"/>
    <n v="0"/>
    <m/>
    <n v="59.7"/>
  </r>
  <r>
    <s v="USR-101206"/>
    <d v="2025-01-25T00:00:00"/>
    <x v="1"/>
    <x v="2"/>
    <x v="1"/>
    <x v="4"/>
    <x v="1"/>
    <n v="0"/>
    <n v="0"/>
    <n v="0"/>
    <n v="0"/>
    <n v="0"/>
    <n v="0"/>
    <n v="0"/>
    <n v="0"/>
    <n v="0"/>
    <m/>
    <n v="47.7"/>
  </r>
  <r>
    <s v="USR-101207"/>
    <d v="2025-03-17T00:00:00"/>
    <x v="1"/>
    <x v="0"/>
    <x v="1"/>
    <x v="1"/>
    <x v="1"/>
    <n v="0"/>
    <n v="0"/>
    <n v="0"/>
    <n v="0"/>
    <n v="0"/>
    <n v="0"/>
    <n v="0"/>
    <n v="0"/>
    <n v="0"/>
    <m/>
    <n v="59.1"/>
  </r>
  <r>
    <s v="USR-101208"/>
    <d v="2025-02-21T00:00:00"/>
    <x v="1"/>
    <x v="1"/>
    <x v="0"/>
    <x v="4"/>
    <x v="0"/>
    <n v="1"/>
    <n v="0"/>
    <n v="0"/>
    <n v="0"/>
    <n v="0"/>
    <n v="0"/>
    <n v="1"/>
    <n v="1"/>
    <n v="0"/>
    <m/>
    <n v="68.7"/>
  </r>
  <r>
    <s v="USR-101209"/>
    <d v="2025-04-08T00:00:00"/>
    <x v="1"/>
    <x v="2"/>
    <x v="2"/>
    <x v="1"/>
    <x v="0"/>
    <n v="0"/>
    <n v="0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x v="0"/>
    <n v="1"/>
    <n v="0"/>
    <n v="0"/>
    <n v="0"/>
    <n v="0"/>
    <n v="0"/>
    <n v="0"/>
    <n v="0"/>
    <n v="0"/>
    <m/>
    <n v="62"/>
  </r>
  <r>
    <s v="USR-101211"/>
    <d v="2025-05-29T00:00:00"/>
    <x v="1"/>
    <x v="3"/>
    <x v="1"/>
    <x v="1"/>
    <x v="1"/>
    <n v="1"/>
    <n v="1"/>
    <n v="0"/>
    <n v="0"/>
    <n v="0"/>
    <n v="0"/>
    <n v="0"/>
    <n v="0"/>
    <n v="0"/>
    <m/>
    <n v="56"/>
  </r>
  <r>
    <s v="USR-101212"/>
    <d v="2025-05-30T00:00:00"/>
    <x v="1"/>
    <x v="0"/>
    <x v="1"/>
    <x v="0"/>
    <x v="0"/>
    <n v="1"/>
    <n v="0"/>
    <n v="0"/>
    <n v="0"/>
    <n v="0"/>
    <n v="0"/>
    <n v="1"/>
    <n v="1"/>
    <n v="0"/>
    <m/>
    <n v="65.8"/>
  </r>
  <r>
    <s v="USR-101213"/>
    <d v="2025-01-24T00:00:00"/>
    <x v="1"/>
    <x v="0"/>
    <x v="0"/>
    <x v="1"/>
    <x v="2"/>
    <n v="0"/>
    <n v="0"/>
    <n v="0"/>
    <n v="0"/>
    <n v="0"/>
    <n v="0"/>
    <n v="0"/>
    <n v="0"/>
    <n v="0"/>
    <m/>
    <n v="54.7"/>
  </r>
  <r>
    <s v="USR-101214"/>
    <d v="2025-05-12T00:00:00"/>
    <x v="1"/>
    <x v="3"/>
    <x v="1"/>
    <x v="1"/>
    <x v="0"/>
    <n v="1"/>
    <n v="1"/>
    <n v="0"/>
    <n v="0"/>
    <n v="0"/>
    <n v="0"/>
    <n v="0"/>
    <n v="0"/>
    <n v="0"/>
    <m/>
    <n v="64.099999999999994"/>
  </r>
  <r>
    <s v="USR-101215"/>
    <d v="2025-03-28T00:00:00"/>
    <x v="1"/>
    <x v="3"/>
    <x v="1"/>
    <x v="1"/>
    <x v="0"/>
    <n v="1"/>
    <n v="1"/>
    <n v="1"/>
    <n v="0"/>
    <n v="0"/>
    <n v="0"/>
    <n v="0"/>
    <n v="0"/>
    <n v="0"/>
    <m/>
    <n v="71.599999999999994"/>
  </r>
  <r>
    <s v="USR-101216"/>
    <d v="2025-04-14T00:00:00"/>
    <x v="1"/>
    <x v="0"/>
    <x v="1"/>
    <x v="3"/>
    <x v="0"/>
    <n v="1"/>
    <n v="0"/>
    <n v="0"/>
    <n v="0"/>
    <n v="0"/>
    <n v="0"/>
    <n v="0"/>
    <n v="0"/>
    <n v="0"/>
    <m/>
    <n v="78.400000000000006"/>
  </r>
  <r>
    <s v="USR-101217"/>
    <d v="2025-01-28T00:00:00"/>
    <x v="1"/>
    <x v="2"/>
    <x v="2"/>
    <x v="3"/>
    <x v="0"/>
    <n v="0"/>
    <n v="0"/>
    <n v="0"/>
    <n v="0"/>
    <n v="0"/>
    <n v="0"/>
    <n v="0"/>
    <n v="0"/>
    <n v="0"/>
    <m/>
    <n v="49.3"/>
  </r>
  <r>
    <s v="USR-101218"/>
    <d v="2025-05-21T00:00:00"/>
    <x v="1"/>
    <x v="0"/>
    <x v="1"/>
    <x v="1"/>
    <x v="0"/>
    <n v="0"/>
    <n v="0"/>
    <n v="0"/>
    <n v="0"/>
    <n v="0"/>
    <n v="0"/>
    <n v="0"/>
    <n v="0"/>
    <n v="0"/>
    <m/>
    <n v="52.8"/>
  </r>
  <r>
    <s v="USR-101219"/>
    <d v="2025-05-11T00:00:00"/>
    <x v="1"/>
    <x v="1"/>
    <x v="0"/>
    <x v="1"/>
    <x v="1"/>
    <n v="0"/>
    <n v="0"/>
    <n v="0"/>
    <n v="0"/>
    <n v="0"/>
    <n v="0"/>
    <n v="0"/>
    <n v="0"/>
    <n v="0"/>
    <m/>
    <n v="58.5"/>
  </r>
  <r>
    <s v="USR-101220"/>
    <d v="2025-02-02T00:00:00"/>
    <x v="1"/>
    <x v="3"/>
    <x v="1"/>
    <x v="2"/>
    <x v="1"/>
    <n v="1"/>
    <n v="0"/>
    <n v="0"/>
    <n v="0"/>
    <n v="0"/>
    <n v="0"/>
    <n v="0"/>
    <n v="0"/>
    <n v="0"/>
    <m/>
    <n v="55.9"/>
  </r>
  <r>
    <s v="USR-101221"/>
    <d v="2025-02-26T00:00:00"/>
    <x v="1"/>
    <x v="0"/>
    <x v="1"/>
    <x v="4"/>
    <x v="1"/>
    <n v="1"/>
    <n v="1"/>
    <n v="1"/>
    <n v="1"/>
    <n v="351.43"/>
    <n v="351.43"/>
    <n v="1"/>
    <n v="1"/>
    <n v="0"/>
    <n v="6"/>
    <n v="74.900000000000006"/>
  </r>
  <r>
    <s v="USR-101222"/>
    <d v="2025-02-27T00:00:00"/>
    <x v="1"/>
    <x v="3"/>
    <x v="0"/>
    <x v="3"/>
    <x v="1"/>
    <n v="1"/>
    <n v="1"/>
    <n v="1"/>
    <n v="1"/>
    <n v="352.42"/>
    <n v="352.42"/>
    <n v="0"/>
    <n v="0"/>
    <n v="0"/>
    <n v="4"/>
    <n v="58.5"/>
  </r>
  <r>
    <s v="USR-101223"/>
    <d v="2025-03-09T00:00:00"/>
    <x v="1"/>
    <x v="1"/>
    <x v="1"/>
    <x v="1"/>
    <x v="1"/>
    <n v="0"/>
    <n v="0"/>
    <n v="0"/>
    <n v="0"/>
    <n v="0"/>
    <n v="0"/>
    <n v="0"/>
    <n v="0"/>
    <n v="0"/>
    <m/>
    <n v="63.5"/>
  </r>
  <r>
    <s v="USR-101224"/>
    <d v="2025-02-07T00:00:00"/>
    <x v="1"/>
    <x v="0"/>
    <x v="1"/>
    <x v="2"/>
    <x v="0"/>
    <n v="1"/>
    <n v="0"/>
    <n v="0"/>
    <n v="0"/>
    <n v="0"/>
    <n v="0"/>
    <n v="1"/>
    <n v="1"/>
    <n v="0"/>
    <m/>
    <n v="64.8"/>
  </r>
  <r>
    <s v="USR-101225"/>
    <d v="2025-01-31T00:00:00"/>
    <x v="1"/>
    <x v="1"/>
    <x v="1"/>
    <x v="4"/>
    <x v="1"/>
    <n v="0"/>
    <n v="0"/>
    <n v="0"/>
    <n v="0"/>
    <n v="0"/>
    <n v="0"/>
    <n v="0"/>
    <n v="0"/>
    <n v="0"/>
    <m/>
    <n v="63.3"/>
  </r>
  <r>
    <s v="USR-101226"/>
    <d v="2025-02-14T00:00:00"/>
    <x v="1"/>
    <x v="0"/>
    <x v="2"/>
    <x v="2"/>
    <x v="0"/>
    <n v="1"/>
    <n v="1"/>
    <n v="1"/>
    <n v="1"/>
    <n v="1074.1600000000001"/>
    <n v="1074.1600000000001"/>
    <n v="0"/>
    <n v="0"/>
    <n v="0"/>
    <n v="8"/>
    <n v="83.7"/>
  </r>
  <r>
    <s v="USR-101227"/>
    <d v="2025-02-12T00:00:00"/>
    <x v="1"/>
    <x v="3"/>
    <x v="0"/>
    <x v="4"/>
    <x v="0"/>
    <n v="0"/>
    <n v="0"/>
    <n v="0"/>
    <n v="0"/>
    <n v="0"/>
    <n v="0"/>
    <n v="0"/>
    <n v="0"/>
    <n v="0"/>
    <m/>
    <n v="88.7"/>
  </r>
  <r>
    <s v="USR-101228"/>
    <d v="2025-03-23T00:00:00"/>
    <x v="1"/>
    <x v="2"/>
    <x v="3"/>
    <x v="2"/>
    <x v="1"/>
    <n v="1"/>
    <n v="0"/>
    <n v="0"/>
    <n v="0"/>
    <n v="0"/>
    <n v="0"/>
    <n v="1"/>
    <n v="1"/>
    <n v="0"/>
    <m/>
    <n v="61.5"/>
  </r>
  <r>
    <s v="USR-101229"/>
    <d v="2025-03-18T00:00:00"/>
    <x v="1"/>
    <x v="1"/>
    <x v="1"/>
    <x v="2"/>
    <x v="1"/>
    <n v="0"/>
    <n v="0"/>
    <n v="0"/>
    <n v="0"/>
    <n v="0"/>
    <n v="0"/>
    <n v="0"/>
    <n v="0"/>
    <n v="0"/>
    <m/>
    <n v="45.3"/>
  </r>
  <r>
    <s v="USR-101230"/>
    <d v="2025-05-17T00:00:00"/>
    <x v="1"/>
    <x v="0"/>
    <x v="1"/>
    <x v="4"/>
    <x v="1"/>
    <n v="1"/>
    <n v="0"/>
    <n v="0"/>
    <n v="0"/>
    <n v="0"/>
    <n v="0"/>
    <n v="0"/>
    <n v="0"/>
    <n v="0"/>
    <m/>
    <n v="37.299999999999997"/>
  </r>
  <r>
    <s v="USR-101231"/>
    <d v="2025-03-26T00:00:00"/>
    <x v="1"/>
    <x v="1"/>
    <x v="0"/>
    <x v="4"/>
    <x v="2"/>
    <n v="1"/>
    <n v="0"/>
    <n v="0"/>
    <n v="0"/>
    <n v="0"/>
    <n v="0"/>
    <n v="1"/>
    <n v="1"/>
    <n v="0"/>
    <m/>
    <n v="76.099999999999994"/>
  </r>
  <r>
    <s v="USR-101232"/>
    <d v="2025-03-30T00:00:00"/>
    <x v="1"/>
    <x v="2"/>
    <x v="1"/>
    <x v="1"/>
    <x v="1"/>
    <n v="1"/>
    <n v="1"/>
    <n v="1"/>
    <n v="0"/>
    <n v="0"/>
    <n v="0"/>
    <n v="1"/>
    <n v="1"/>
    <n v="0"/>
    <m/>
    <n v="72.5"/>
  </r>
  <r>
    <s v="USR-101233"/>
    <d v="2025-02-25T00:00:00"/>
    <x v="1"/>
    <x v="2"/>
    <x v="0"/>
    <x v="1"/>
    <x v="1"/>
    <n v="1"/>
    <n v="0"/>
    <n v="0"/>
    <n v="0"/>
    <n v="0"/>
    <n v="0"/>
    <n v="0"/>
    <n v="0"/>
    <n v="0"/>
    <m/>
    <n v="62.3"/>
  </r>
  <r>
    <s v="USR-101234"/>
    <d v="2025-03-01T00:00:00"/>
    <x v="1"/>
    <x v="2"/>
    <x v="0"/>
    <x v="4"/>
    <x v="1"/>
    <n v="0"/>
    <n v="0"/>
    <n v="0"/>
    <n v="0"/>
    <n v="0"/>
    <n v="0"/>
    <n v="0"/>
    <n v="0"/>
    <n v="0"/>
    <m/>
    <n v="62.7"/>
  </r>
  <r>
    <s v="USR-101235"/>
    <d v="2025-05-27T00:00:00"/>
    <x v="1"/>
    <x v="0"/>
    <x v="1"/>
    <x v="2"/>
    <x v="0"/>
    <n v="0"/>
    <n v="0"/>
    <n v="0"/>
    <n v="0"/>
    <n v="0"/>
    <n v="0"/>
    <n v="0"/>
    <n v="0"/>
    <n v="0"/>
    <m/>
    <n v="82.4"/>
  </r>
  <r>
    <s v="USR-101236"/>
    <d v="2025-02-05T00:00:00"/>
    <x v="1"/>
    <x v="1"/>
    <x v="1"/>
    <x v="5"/>
    <x v="2"/>
    <n v="1"/>
    <n v="0"/>
    <n v="0"/>
    <n v="0"/>
    <n v="0"/>
    <n v="0"/>
    <n v="0"/>
    <n v="0"/>
    <n v="0"/>
    <m/>
    <n v="78.900000000000006"/>
  </r>
  <r>
    <s v="USR-101237"/>
    <d v="2025-01-25T00:00:00"/>
    <x v="1"/>
    <x v="1"/>
    <x v="0"/>
    <x v="0"/>
    <x v="1"/>
    <n v="1"/>
    <n v="1"/>
    <n v="1"/>
    <n v="1"/>
    <n v="618.91"/>
    <n v="618.91"/>
    <n v="0"/>
    <n v="0"/>
    <n v="0"/>
    <n v="4"/>
    <n v="67.8"/>
  </r>
  <r>
    <s v="USR-101238"/>
    <d v="2025-04-10T00:00:00"/>
    <x v="1"/>
    <x v="2"/>
    <x v="1"/>
    <x v="1"/>
    <x v="2"/>
    <n v="1"/>
    <n v="0"/>
    <n v="0"/>
    <n v="0"/>
    <n v="0"/>
    <n v="0"/>
    <n v="0"/>
    <n v="0"/>
    <n v="0"/>
    <m/>
    <n v="68.8"/>
  </r>
  <r>
    <s v="USR-101239"/>
    <d v="2025-01-10T00:00:00"/>
    <x v="1"/>
    <x v="2"/>
    <x v="1"/>
    <x v="1"/>
    <x v="2"/>
    <n v="1"/>
    <n v="0"/>
    <n v="0"/>
    <n v="0"/>
    <n v="0"/>
    <n v="0"/>
    <n v="0"/>
    <n v="0"/>
    <n v="0"/>
    <m/>
    <n v="67.7"/>
  </r>
  <r>
    <s v="USR-101240"/>
    <d v="2025-02-23T00:00:00"/>
    <x v="1"/>
    <x v="2"/>
    <x v="1"/>
    <x v="5"/>
    <x v="1"/>
    <n v="0"/>
    <n v="0"/>
    <n v="0"/>
    <n v="0"/>
    <n v="0"/>
    <n v="0"/>
    <n v="0"/>
    <n v="0"/>
    <n v="0"/>
    <m/>
    <n v="88"/>
  </r>
  <r>
    <s v="USR-101241"/>
    <d v="2025-05-23T00:00:00"/>
    <x v="1"/>
    <x v="1"/>
    <x v="0"/>
    <x v="1"/>
    <x v="0"/>
    <n v="1"/>
    <n v="1"/>
    <n v="0"/>
    <n v="0"/>
    <n v="0"/>
    <n v="0"/>
    <n v="0"/>
    <n v="0"/>
    <n v="0"/>
    <m/>
    <n v="80.099999999999994"/>
  </r>
  <r>
    <s v="USR-101242"/>
    <d v="2025-03-08T00:00:00"/>
    <x v="1"/>
    <x v="0"/>
    <x v="2"/>
    <x v="0"/>
    <x v="0"/>
    <n v="0"/>
    <n v="0"/>
    <n v="0"/>
    <n v="0"/>
    <n v="0"/>
    <n v="0"/>
    <n v="1"/>
    <n v="1"/>
    <n v="0"/>
    <m/>
    <n v="48.2"/>
  </r>
  <r>
    <s v="USR-101243"/>
    <d v="2025-05-21T00:00:00"/>
    <x v="1"/>
    <x v="2"/>
    <x v="1"/>
    <x v="1"/>
    <x v="0"/>
    <n v="1"/>
    <n v="0"/>
    <n v="0"/>
    <n v="0"/>
    <n v="0"/>
    <n v="0"/>
    <n v="0"/>
    <n v="0"/>
    <n v="0"/>
    <m/>
    <n v="52.7"/>
  </r>
  <r>
    <s v="USR-101244"/>
    <d v="2025-04-22T00:00:00"/>
    <x v="1"/>
    <x v="0"/>
    <x v="1"/>
    <x v="0"/>
    <x v="0"/>
    <n v="1"/>
    <n v="1"/>
    <n v="0"/>
    <n v="0"/>
    <n v="0"/>
    <n v="0"/>
    <n v="0"/>
    <n v="0"/>
    <n v="0"/>
    <m/>
    <n v="59.9"/>
  </r>
  <r>
    <s v="USR-101245"/>
    <d v="2025-04-16T00:00:00"/>
    <x v="1"/>
    <x v="0"/>
    <x v="1"/>
    <x v="0"/>
    <x v="2"/>
    <n v="1"/>
    <n v="0"/>
    <n v="0"/>
    <n v="0"/>
    <n v="0"/>
    <n v="0"/>
    <n v="0"/>
    <n v="0"/>
    <n v="0"/>
    <m/>
    <n v="49.5"/>
  </r>
  <r>
    <s v="USR-101246"/>
    <d v="2025-05-08T00:00:00"/>
    <x v="1"/>
    <x v="0"/>
    <x v="2"/>
    <x v="1"/>
    <x v="1"/>
    <n v="1"/>
    <n v="0"/>
    <n v="0"/>
    <n v="0"/>
    <n v="0"/>
    <n v="0"/>
    <n v="0"/>
    <n v="0"/>
    <n v="0"/>
    <m/>
    <n v="41.5"/>
  </r>
  <r>
    <s v="USR-101247"/>
    <d v="2025-05-22T00:00:00"/>
    <x v="1"/>
    <x v="0"/>
    <x v="1"/>
    <x v="2"/>
    <x v="0"/>
    <n v="1"/>
    <n v="0"/>
    <n v="0"/>
    <n v="0"/>
    <n v="0"/>
    <n v="0"/>
    <n v="0"/>
    <n v="0"/>
    <n v="0"/>
    <m/>
    <n v="71.2"/>
  </r>
  <r>
    <s v="USR-101248"/>
    <d v="2025-03-21T00:00:00"/>
    <x v="1"/>
    <x v="0"/>
    <x v="1"/>
    <x v="3"/>
    <x v="0"/>
    <n v="1"/>
    <n v="1"/>
    <n v="1"/>
    <n v="0"/>
    <n v="0"/>
    <n v="0"/>
    <n v="0"/>
    <n v="0"/>
    <n v="0"/>
    <m/>
    <n v="65.8"/>
  </r>
  <r>
    <s v="USR-101249"/>
    <d v="2025-03-22T00:00:00"/>
    <x v="1"/>
    <x v="2"/>
    <x v="1"/>
    <x v="1"/>
    <x v="0"/>
    <n v="1"/>
    <n v="0"/>
    <n v="0"/>
    <n v="0"/>
    <n v="0"/>
    <n v="0"/>
    <n v="1"/>
    <n v="1"/>
    <n v="0"/>
    <m/>
    <n v="55.1"/>
  </r>
  <r>
    <s v="USR-101250"/>
    <d v="2025-01-10T00:00:00"/>
    <x v="1"/>
    <x v="1"/>
    <x v="0"/>
    <x v="4"/>
    <x v="1"/>
    <n v="1"/>
    <n v="0"/>
    <n v="0"/>
    <n v="0"/>
    <n v="0"/>
    <n v="0"/>
    <n v="0"/>
    <n v="0"/>
    <n v="0"/>
    <m/>
    <n v="54.6"/>
  </r>
  <r>
    <s v="USR-101251"/>
    <d v="2025-02-01T00:00:00"/>
    <x v="1"/>
    <x v="2"/>
    <x v="1"/>
    <x v="1"/>
    <x v="0"/>
    <n v="1"/>
    <n v="1"/>
    <n v="1"/>
    <n v="1"/>
    <n v="923.67"/>
    <n v="923.67"/>
    <n v="0"/>
    <n v="0"/>
    <n v="0"/>
    <n v="4"/>
    <n v="81.900000000000006"/>
  </r>
  <r>
    <s v="USR-101252"/>
    <d v="2025-03-31T00:00:00"/>
    <x v="1"/>
    <x v="3"/>
    <x v="1"/>
    <x v="2"/>
    <x v="0"/>
    <n v="1"/>
    <n v="1"/>
    <n v="0"/>
    <n v="0"/>
    <n v="0"/>
    <n v="0"/>
    <n v="3"/>
    <n v="1"/>
    <n v="0"/>
    <m/>
    <n v="63.2"/>
  </r>
  <r>
    <s v="USR-101253"/>
    <d v="2025-04-25T00:00:00"/>
    <x v="1"/>
    <x v="0"/>
    <x v="1"/>
    <x v="2"/>
    <x v="1"/>
    <n v="1"/>
    <n v="0"/>
    <n v="0"/>
    <n v="0"/>
    <n v="0"/>
    <n v="0"/>
    <n v="0"/>
    <n v="0"/>
    <n v="0"/>
    <m/>
    <n v="55.4"/>
  </r>
  <r>
    <s v="USR-101254"/>
    <d v="2025-05-02T00:00:00"/>
    <x v="1"/>
    <x v="1"/>
    <x v="1"/>
    <x v="4"/>
    <x v="0"/>
    <n v="0"/>
    <n v="0"/>
    <n v="0"/>
    <n v="0"/>
    <n v="0"/>
    <n v="0"/>
    <n v="0"/>
    <n v="0"/>
    <n v="0"/>
    <m/>
    <n v="87.5"/>
  </r>
  <r>
    <s v="USR-101255"/>
    <d v="2025-03-08T00:00:00"/>
    <x v="1"/>
    <x v="3"/>
    <x v="0"/>
    <x v="4"/>
    <x v="0"/>
    <n v="1"/>
    <n v="0"/>
    <n v="0"/>
    <n v="0"/>
    <n v="0"/>
    <n v="0"/>
    <n v="0"/>
    <n v="0"/>
    <n v="0"/>
    <m/>
    <n v="48.5"/>
  </r>
  <r>
    <s v="USR-101256"/>
    <d v="2025-01-27T00:00:00"/>
    <x v="1"/>
    <x v="2"/>
    <x v="0"/>
    <x v="5"/>
    <x v="1"/>
    <n v="1"/>
    <n v="1"/>
    <n v="1"/>
    <n v="1"/>
    <n v="420.27"/>
    <n v="420.27"/>
    <n v="0"/>
    <n v="0"/>
    <n v="0"/>
    <n v="6"/>
    <n v="58.4"/>
  </r>
  <r>
    <s v="USR-101257"/>
    <d v="2025-04-27T00:00:00"/>
    <x v="1"/>
    <x v="1"/>
    <x v="1"/>
    <x v="2"/>
    <x v="1"/>
    <n v="0"/>
    <n v="0"/>
    <n v="0"/>
    <n v="0"/>
    <n v="0"/>
    <n v="0"/>
    <n v="0"/>
    <n v="0"/>
    <n v="0"/>
    <m/>
    <n v="59.5"/>
  </r>
  <r>
    <s v="USR-101258"/>
    <d v="2025-01-16T00:00:00"/>
    <x v="1"/>
    <x v="1"/>
    <x v="0"/>
    <x v="2"/>
    <x v="0"/>
    <n v="1"/>
    <n v="0"/>
    <n v="0"/>
    <n v="0"/>
    <n v="0"/>
    <n v="0"/>
    <n v="0"/>
    <n v="0"/>
    <n v="0"/>
    <m/>
    <n v="93.2"/>
  </r>
  <r>
    <s v="USR-101259"/>
    <d v="2025-01-18T00:00:00"/>
    <x v="1"/>
    <x v="1"/>
    <x v="0"/>
    <x v="2"/>
    <x v="0"/>
    <n v="1"/>
    <n v="0"/>
    <n v="0"/>
    <n v="0"/>
    <n v="0"/>
    <n v="0"/>
    <n v="0"/>
    <n v="0"/>
    <n v="0"/>
    <m/>
    <n v="59"/>
  </r>
  <r>
    <s v="USR-101260"/>
    <d v="2025-03-21T00:00:00"/>
    <x v="1"/>
    <x v="0"/>
    <x v="1"/>
    <x v="1"/>
    <x v="1"/>
    <n v="1"/>
    <n v="0"/>
    <n v="0"/>
    <n v="0"/>
    <n v="0"/>
    <n v="0"/>
    <n v="0"/>
    <n v="0"/>
    <n v="0"/>
    <m/>
    <n v="37"/>
  </r>
  <r>
    <s v="USR-101261"/>
    <d v="2025-04-02T00:00:00"/>
    <x v="1"/>
    <x v="0"/>
    <x v="0"/>
    <x v="2"/>
    <x v="1"/>
    <n v="1"/>
    <n v="0"/>
    <n v="0"/>
    <n v="0"/>
    <n v="0"/>
    <n v="0"/>
    <n v="0"/>
    <n v="0"/>
    <n v="0"/>
    <m/>
    <n v="47.5"/>
  </r>
  <r>
    <s v="USR-101262"/>
    <d v="2025-02-16T00:00:00"/>
    <x v="1"/>
    <x v="1"/>
    <x v="0"/>
    <x v="1"/>
    <x v="1"/>
    <n v="1"/>
    <n v="1"/>
    <n v="1"/>
    <n v="0"/>
    <n v="0"/>
    <n v="0"/>
    <n v="0"/>
    <n v="0"/>
    <n v="0"/>
    <m/>
    <n v="78.7"/>
  </r>
  <r>
    <s v="USR-101263"/>
    <d v="2025-02-18T00:00:00"/>
    <x v="1"/>
    <x v="0"/>
    <x v="1"/>
    <x v="4"/>
    <x v="1"/>
    <n v="1"/>
    <n v="0"/>
    <n v="0"/>
    <n v="0"/>
    <n v="0"/>
    <n v="0"/>
    <n v="0"/>
    <n v="0"/>
    <n v="0"/>
    <m/>
    <n v="49.6"/>
  </r>
  <r>
    <s v="USR-101264"/>
    <d v="2025-01-09T00:00:00"/>
    <x v="1"/>
    <x v="2"/>
    <x v="1"/>
    <x v="1"/>
    <x v="1"/>
    <n v="1"/>
    <n v="0"/>
    <n v="0"/>
    <n v="0"/>
    <n v="0"/>
    <n v="0"/>
    <n v="0"/>
    <n v="0"/>
    <n v="0"/>
    <m/>
    <n v="58"/>
  </r>
  <r>
    <s v="USR-101265"/>
    <d v="2025-02-18T00:00:00"/>
    <x v="1"/>
    <x v="0"/>
    <x v="0"/>
    <x v="2"/>
    <x v="1"/>
    <n v="1"/>
    <n v="0"/>
    <n v="0"/>
    <n v="0"/>
    <n v="0"/>
    <n v="0"/>
    <n v="1"/>
    <n v="1"/>
    <n v="0"/>
    <m/>
    <n v="54.4"/>
  </r>
  <r>
    <s v="USR-101266"/>
    <d v="2025-01-10T00:00:00"/>
    <x v="1"/>
    <x v="2"/>
    <x v="1"/>
    <x v="3"/>
    <x v="1"/>
    <n v="0"/>
    <n v="0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x v="1"/>
    <n v="1"/>
    <n v="0"/>
    <n v="0"/>
    <n v="0"/>
    <n v="0"/>
    <n v="0"/>
    <n v="0"/>
    <n v="0"/>
    <n v="0"/>
    <m/>
    <n v="72.7"/>
  </r>
  <r>
    <s v="USR-101268"/>
    <d v="2025-04-16T00:00:00"/>
    <x v="1"/>
    <x v="2"/>
    <x v="0"/>
    <x v="2"/>
    <x v="0"/>
    <n v="0"/>
    <n v="0"/>
    <n v="0"/>
    <n v="0"/>
    <n v="0"/>
    <n v="0"/>
    <n v="0"/>
    <n v="0"/>
    <n v="0"/>
    <m/>
    <n v="64.7"/>
  </r>
  <r>
    <s v="USR-101269"/>
    <d v="2025-02-19T00:00:00"/>
    <x v="1"/>
    <x v="1"/>
    <x v="0"/>
    <x v="2"/>
    <x v="2"/>
    <n v="0"/>
    <n v="0"/>
    <n v="0"/>
    <n v="0"/>
    <n v="0"/>
    <n v="0"/>
    <n v="1"/>
    <n v="1"/>
    <n v="0"/>
    <m/>
    <n v="48.6"/>
  </r>
  <r>
    <s v="USR-101270"/>
    <d v="2025-03-16T00:00:00"/>
    <x v="1"/>
    <x v="2"/>
    <x v="0"/>
    <x v="4"/>
    <x v="1"/>
    <n v="1"/>
    <n v="1"/>
    <n v="0"/>
    <n v="0"/>
    <n v="0"/>
    <n v="0"/>
    <n v="0"/>
    <n v="0"/>
    <n v="0"/>
    <m/>
    <n v="66.2"/>
  </r>
  <r>
    <s v="USR-101271"/>
    <d v="2025-02-03T00:00:00"/>
    <x v="1"/>
    <x v="1"/>
    <x v="3"/>
    <x v="3"/>
    <x v="0"/>
    <n v="1"/>
    <n v="0"/>
    <n v="0"/>
    <n v="0"/>
    <n v="0"/>
    <n v="0"/>
    <n v="1"/>
    <n v="1"/>
    <n v="0"/>
    <m/>
    <n v="60.7"/>
  </r>
  <r>
    <s v="USR-101272"/>
    <d v="2025-03-12T00:00:00"/>
    <x v="1"/>
    <x v="1"/>
    <x v="1"/>
    <x v="2"/>
    <x v="0"/>
    <n v="1"/>
    <n v="0"/>
    <n v="0"/>
    <n v="0"/>
    <n v="0"/>
    <n v="0"/>
    <n v="0"/>
    <n v="0"/>
    <n v="0"/>
    <m/>
    <n v="36.5"/>
  </r>
  <r>
    <s v="USR-101273"/>
    <d v="2025-05-09T00:00:00"/>
    <x v="1"/>
    <x v="1"/>
    <x v="1"/>
    <x v="4"/>
    <x v="1"/>
    <n v="1"/>
    <n v="1"/>
    <n v="1"/>
    <n v="0"/>
    <n v="0"/>
    <n v="0"/>
    <n v="3"/>
    <n v="1"/>
    <n v="0"/>
    <m/>
    <n v="69.7"/>
  </r>
  <r>
    <s v="USR-101274"/>
    <d v="2025-01-19T00:00:00"/>
    <x v="1"/>
    <x v="3"/>
    <x v="0"/>
    <x v="4"/>
    <x v="2"/>
    <n v="1"/>
    <n v="0"/>
    <n v="0"/>
    <n v="0"/>
    <n v="0"/>
    <n v="0"/>
    <n v="0"/>
    <n v="0"/>
    <n v="0"/>
    <m/>
    <n v="81.8"/>
  </r>
  <r>
    <s v="USR-101275"/>
    <d v="2025-01-24T00:00:00"/>
    <x v="1"/>
    <x v="1"/>
    <x v="1"/>
    <x v="3"/>
    <x v="1"/>
    <n v="1"/>
    <n v="1"/>
    <n v="1"/>
    <n v="0"/>
    <n v="0"/>
    <n v="0"/>
    <n v="1"/>
    <n v="1"/>
    <n v="0"/>
    <m/>
    <n v="78.3"/>
  </r>
  <r>
    <s v="USR-101276"/>
    <d v="2025-03-03T00:00:00"/>
    <x v="1"/>
    <x v="2"/>
    <x v="1"/>
    <x v="3"/>
    <x v="1"/>
    <n v="1"/>
    <n v="1"/>
    <n v="0"/>
    <n v="0"/>
    <n v="0"/>
    <n v="0"/>
    <n v="0"/>
    <n v="0"/>
    <n v="0"/>
    <m/>
    <n v="79.400000000000006"/>
  </r>
  <r>
    <s v="USR-101277"/>
    <d v="2025-05-27T00:00:00"/>
    <x v="1"/>
    <x v="0"/>
    <x v="0"/>
    <x v="3"/>
    <x v="1"/>
    <n v="1"/>
    <n v="1"/>
    <n v="1"/>
    <n v="0"/>
    <n v="0"/>
    <n v="0"/>
    <n v="0"/>
    <n v="0"/>
    <n v="0"/>
    <m/>
    <n v="54.9"/>
  </r>
  <r>
    <s v="USR-101278"/>
    <d v="2025-04-23T00:00:00"/>
    <x v="1"/>
    <x v="1"/>
    <x v="0"/>
    <x v="1"/>
    <x v="0"/>
    <n v="1"/>
    <n v="0"/>
    <n v="0"/>
    <n v="0"/>
    <n v="0"/>
    <n v="0"/>
    <n v="0"/>
    <n v="0"/>
    <n v="0"/>
    <m/>
    <n v="54.9"/>
  </r>
  <r>
    <s v="USR-101279"/>
    <d v="2025-02-10T00:00:00"/>
    <x v="1"/>
    <x v="2"/>
    <x v="0"/>
    <x v="4"/>
    <x v="1"/>
    <n v="0"/>
    <n v="0"/>
    <n v="0"/>
    <n v="0"/>
    <n v="0"/>
    <n v="0"/>
    <n v="0"/>
    <n v="0"/>
    <n v="0"/>
    <m/>
    <n v="28.7"/>
  </r>
  <r>
    <s v="USR-101280"/>
    <d v="2025-02-11T00:00:00"/>
    <x v="1"/>
    <x v="0"/>
    <x v="1"/>
    <x v="1"/>
    <x v="1"/>
    <n v="0"/>
    <n v="0"/>
    <n v="0"/>
    <n v="0"/>
    <n v="0"/>
    <n v="0"/>
    <n v="0"/>
    <n v="0"/>
    <n v="0"/>
    <m/>
    <n v="68.8"/>
  </r>
  <r>
    <s v="USR-101281"/>
    <d v="2025-01-21T00:00:00"/>
    <x v="1"/>
    <x v="2"/>
    <x v="0"/>
    <x v="2"/>
    <x v="1"/>
    <n v="1"/>
    <n v="1"/>
    <n v="1"/>
    <n v="0"/>
    <n v="0"/>
    <n v="0"/>
    <n v="0"/>
    <n v="0"/>
    <n v="0"/>
    <m/>
    <n v="43.5"/>
  </r>
  <r>
    <s v="USR-101282"/>
    <d v="2025-02-02T00:00:00"/>
    <x v="1"/>
    <x v="1"/>
    <x v="0"/>
    <x v="4"/>
    <x v="1"/>
    <n v="1"/>
    <n v="1"/>
    <n v="0"/>
    <n v="0"/>
    <n v="0"/>
    <n v="0"/>
    <n v="0"/>
    <n v="0"/>
    <n v="0"/>
    <m/>
    <n v="62.6"/>
  </r>
  <r>
    <s v="USR-101283"/>
    <d v="2025-02-02T00:00:00"/>
    <x v="1"/>
    <x v="1"/>
    <x v="1"/>
    <x v="1"/>
    <x v="1"/>
    <n v="0"/>
    <n v="0"/>
    <n v="0"/>
    <n v="0"/>
    <n v="0"/>
    <n v="0"/>
    <n v="1"/>
    <n v="1"/>
    <n v="0"/>
    <m/>
    <n v="54.1"/>
  </r>
  <r>
    <s v="USR-101284"/>
    <d v="2025-02-26T00:00:00"/>
    <x v="1"/>
    <x v="1"/>
    <x v="2"/>
    <x v="4"/>
    <x v="1"/>
    <n v="1"/>
    <n v="1"/>
    <n v="1"/>
    <n v="0"/>
    <n v="0"/>
    <n v="0"/>
    <n v="0"/>
    <n v="0"/>
    <n v="0"/>
    <m/>
    <n v="80.099999999999994"/>
  </r>
  <r>
    <s v="USR-101285"/>
    <d v="2025-04-22T00:00:00"/>
    <x v="1"/>
    <x v="0"/>
    <x v="1"/>
    <x v="4"/>
    <x v="2"/>
    <n v="1"/>
    <n v="0"/>
    <n v="0"/>
    <n v="0"/>
    <n v="0"/>
    <n v="0"/>
    <n v="0"/>
    <n v="0"/>
    <n v="0"/>
    <m/>
    <n v="69.5"/>
  </r>
  <r>
    <s v="USR-101286"/>
    <d v="2025-03-11T00:00:00"/>
    <x v="1"/>
    <x v="0"/>
    <x v="0"/>
    <x v="1"/>
    <x v="0"/>
    <n v="0"/>
    <n v="0"/>
    <n v="0"/>
    <n v="0"/>
    <n v="0"/>
    <n v="0"/>
    <n v="2"/>
    <n v="1"/>
    <n v="0"/>
    <m/>
    <n v="46.6"/>
  </r>
  <r>
    <s v="USR-101287"/>
    <d v="2025-05-08T00:00:00"/>
    <x v="1"/>
    <x v="3"/>
    <x v="1"/>
    <x v="1"/>
    <x v="2"/>
    <n v="1"/>
    <n v="0"/>
    <n v="0"/>
    <n v="0"/>
    <n v="0"/>
    <n v="0"/>
    <n v="1"/>
    <n v="1"/>
    <n v="0"/>
    <m/>
    <n v="54.9"/>
  </r>
  <r>
    <s v="USR-101288"/>
    <d v="2025-03-10T00:00:00"/>
    <x v="1"/>
    <x v="2"/>
    <x v="0"/>
    <x v="1"/>
    <x v="1"/>
    <n v="0"/>
    <n v="0"/>
    <n v="0"/>
    <n v="0"/>
    <n v="0"/>
    <n v="0"/>
    <n v="0"/>
    <n v="0"/>
    <n v="0"/>
    <m/>
    <n v="100"/>
  </r>
  <r>
    <s v="USR-101289"/>
    <d v="2025-04-16T00:00:00"/>
    <x v="1"/>
    <x v="2"/>
    <x v="0"/>
    <x v="2"/>
    <x v="1"/>
    <n v="1"/>
    <n v="1"/>
    <n v="1"/>
    <n v="0"/>
    <n v="0"/>
    <n v="0"/>
    <n v="1"/>
    <n v="1"/>
    <n v="0"/>
    <m/>
    <n v="80.5"/>
  </r>
  <r>
    <s v="USR-101290"/>
    <d v="2025-03-01T00:00:00"/>
    <x v="1"/>
    <x v="1"/>
    <x v="2"/>
    <x v="1"/>
    <x v="0"/>
    <n v="1"/>
    <n v="0"/>
    <n v="0"/>
    <n v="0"/>
    <n v="0"/>
    <n v="0"/>
    <n v="0"/>
    <n v="0"/>
    <n v="0"/>
    <m/>
    <n v="51.2"/>
  </r>
  <r>
    <s v="USR-101291"/>
    <d v="2025-01-18T00:00:00"/>
    <x v="1"/>
    <x v="3"/>
    <x v="0"/>
    <x v="1"/>
    <x v="2"/>
    <n v="1"/>
    <n v="0"/>
    <n v="0"/>
    <n v="0"/>
    <n v="0"/>
    <n v="0"/>
    <n v="0"/>
    <n v="0"/>
    <n v="0"/>
    <m/>
    <n v="42.5"/>
  </r>
  <r>
    <s v="USR-101292"/>
    <d v="2025-03-30T00:00:00"/>
    <x v="1"/>
    <x v="0"/>
    <x v="1"/>
    <x v="2"/>
    <x v="1"/>
    <n v="0"/>
    <n v="0"/>
    <n v="0"/>
    <n v="0"/>
    <n v="0"/>
    <n v="0"/>
    <n v="0"/>
    <n v="0"/>
    <n v="0"/>
    <m/>
    <n v="72.5"/>
  </r>
  <r>
    <s v="USR-101293"/>
    <d v="2025-05-26T00:00:00"/>
    <x v="1"/>
    <x v="1"/>
    <x v="1"/>
    <x v="4"/>
    <x v="2"/>
    <n v="0"/>
    <n v="0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x v="1"/>
    <n v="0"/>
    <n v="0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x v="1"/>
    <n v="1"/>
    <n v="0"/>
    <n v="0"/>
    <n v="0"/>
    <n v="0"/>
    <n v="0"/>
    <n v="0"/>
    <n v="0"/>
    <n v="0"/>
    <m/>
    <n v="71.5"/>
  </r>
  <r>
    <s v="USR-101296"/>
    <d v="2025-05-28T00:00:00"/>
    <x v="1"/>
    <x v="3"/>
    <x v="0"/>
    <x v="4"/>
    <x v="1"/>
    <n v="1"/>
    <n v="0"/>
    <n v="0"/>
    <n v="0"/>
    <n v="0"/>
    <n v="0"/>
    <n v="0"/>
    <n v="0"/>
    <n v="0"/>
    <m/>
    <n v="66.7"/>
  </r>
  <r>
    <s v="USR-101297"/>
    <d v="2025-05-31T00:00:00"/>
    <x v="1"/>
    <x v="3"/>
    <x v="0"/>
    <x v="3"/>
    <x v="2"/>
    <n v="1"/>
    <n v="1"/>
    <n v="1"/>
    <n v="1"/>
    <n v="1496.09"/>
    <n v="1496.09"/>
    <n v="0"/>
    <n v="0"/>
    <n v="0"/>
    <n v="7"/>
    <n v="60.4"/>
  </r>
  <r>
    <s v="USR-101298"/>
    <d v="2025-05-10T00:00:00"/>
    <x v="1"/>
    <x v="0"/>
    <x v="1"/>
    <x v="3"/>
    <x v="1"/>
    <n v="0"/>
    <n v="0"/>
    <n v="0"/>
    <n v="0"/>
    <n v="0"/>
    <n v="0"/>
    <n v="1"/>
    <n v="1"/>
    <n v="0"/>
    <m/>
    <n v="72.900000000000006"/>
  </r>
  <r>
    <s v="USR-101299"/>
    <d v="2025-05-17T00:00:00"/>
    <x v="1"/>
    <x v="1"/>
    <x v="1"/>
    <x v="1"/>
    <x v="1"/>
    <n v="0"/>
    <n v="0"/>
    <n v="0"/>
    <n v="0"/>
    <n v="0"/>
    <n v="0"/>
    <n v="3"/>
    <n v="1"/>
    <n v="0"/>
    <m/>
    <m/>
  </r>
  <r>
    <s v="USR-101300"/>
    <d v="2025-01-18T00:00:00"/>
    <x v="1"/>
    <x v="3"/>
    <x v="1"/>
    <x v="1"/>
    <x v="2"/>
    <n v="1"/>
    <n v="0"/>
    <n v="0"/>
    <n v="0"/>
    <n v="0"/>
    <n v="0"/>
    <n v="0"/>
    <n v="0"/>
    <n v="0"/>
    <m/>
    <n v="55.2"/>
  </r>
  <r>
    <s v="USR-101301"/>
    <d v="2025-05-04T00:00:00"/>
    <x v="1"/>
    <x v="1"/>
    <x v="1"/>
    <x v="4"/>
    <x v="1"/>
    <n v="1"/>
    <n v="0"/>
    <n v="0"/>
    <n v="0"/>
    <n v="0"/>
    <n v="0"/>
    <n v="0"/>
    <n v="0"/>
    <n v="0"/>
    <m/>
    <n v="67.8"/>
  </r>
  <r>
    <s v="USR-101302"/>
    <d v="2025-03-25T00:00:00"/>
    <x v="1"/>
    <x v="0"/>
    <x v="1"/>
    <x v="1"/>
    <x v="1"/>
    <n v="1"/>
    <n v="0"/>
    <n v="0"/>
    <n v="0"/>
    <n v="0"/>
    <n v="0"/>
    <n v="2"/>
    <n v="1"/>
    <n v="0"/>
    <m/>
    <n v="70"/>
  </r>
  <r>
    <s v="USR-101303"/>
    <d v="2025-02-27T00:00:00"/>
    <x v="1"/>
    <x v="0"/>
    <x v="1"/>
    <x v="4"/>
    <x v="0"/>
    <n v="1"/>
    <n v="1"/>
    <n v="1"/>
    <n v="0"/>
    <n v="0"/>
    <n v="0"/>
    <n v="0"/>
    <n v="0"/>
    <n v="0"/>
    <m/>
    <n v="51.1"/>
  </r>
  <r>
    <s v="USR-101304"/>
    <d v="2025-01-14T00:00:00"/>
    <x v="1"/>
    <x v="1"/>
    <x v="1"/>
    <x v="2"/>
    <x v="0"/>
    <n v="1"/>
    <n v="1"/>
    <n v="1"/>
    <n v="0"/>
    <n v="0"/>
    <n v="0"/>
    <n v="0"/>
    <n v="0"/>
    <n v="0"/>
    <m/>
    <n v="57"/>
  </r>
  <r>
    <s v="USR-101305"/>
    <d v="2025-04-11T00:00:00"/>
    <x v="1"/>
    <x v="2"/>
    <x v="1"/>
    <x v="4"/>
    <x v="1"/>
    <n v="0"/>
    <n v="0"/>
    <n v="0"/>
    <n v="0"/>
    <n v="0"/>
    <n v="0"/>
    <n v="1"/>
    <n v="1"/>
    <n v="0"/>
    <m/>
    <n v="47.1"/>
  </r>
  <r>
    <s v="USR-101306"/>
    <d v="2025-03-26T00:00:00"/>
    <x v="1"/>
    <x v="2"/>
    <x v="0"/>
    <x v="4"/>
    <x v="0"/>
    <n v="0"/>
    <n v="0"/>
    <n v="0"/>
    <n v="0"/>
    <n v="0"/>
    <n v="0"/>
    <n v="0"/>
    <n v="0"/>
    <n v="0"/>
    <m/>
    <n v="30.7"/>
  </r>
  <r>
    <s v="USR-101307"/>
    <d v="2025-02-12T00:00:00"/>
    <x v="1"/>
    <x v="1"/>
    <x v="0"/>
    <x v="4"/>
    <x v="1"/>
    <n v="1"/>
    <n v="0"/>
    <n v="0"/>
    <n v="0"/>
    <n v="0"/>
    <n v="0"/>
    <n v="0"/>
    <n v="0"/>
    <n v="0"/>
    <m/>
    <n v="57.3"/>
  </r>
  <r>
    <s v="USR-101308"/>
    <d v="2025-02-18T00:00:00"/>
    <x v="1"/>
    <x v="1"/>
    <x v="2"/>
    <x v="2"/>
    <x v="0"/>
    <n v="1"/>
    <n v="0"/>
    <n v="0"/>
    <n v="0"/>
    <n v="0"/>
    <n v="0"/>
    <n v="0"/>
    <n v="0"/>
    <n v="0"/>
    <m/>
    <n v="70"/>
  </r>
  <r>
    <s v="USR-101309"/>
    <d v="2025-05-25T00:00:00"/>
    <x v="1"/>
    <x v="2"/>
    <x v="0"/>
    <x v="4"/>
    <x v="1"/>
    <n v="1"/>
    <n v="1"/>
    <n v="1"/>
    <n v="0"/>
    <n v="0"/>
    <n v="0"/>
    <n v="0"/>
    <n v="0"/>
    <n v="0"/>
    <m/>
    <n v="59.7"/>
  </r>
  <r>
    <s v="USR-101310"/>
    <d v="2025-05-23T00:00:00"/>
    <x v="1"/>
    <x v="2"/>
    <x v="0"/>
    <x v="2"/>
    <x v="0"/>
    <n v="1"/>
    <n v="0"/>
    <n v="0"/>
    <n v="0"/>
    <n v="0"/>
    <n v="0"/>
    <n v="0"/>
    <n v="0"/>
    <n v="0"/>
    <m/>
    <n v="68.8"/>
  </r>
  <r>
    <s v="USR-101311"/>
    <d v="2025-01-16T00:00:00"/>
    <x v="1"/>
    <x v="0"/>
    <x v="0"/>
    <x v="1"/>
    <x v="1"/>
    <n v="1"/>
    <n v="1"/>
    <n v="1"/>
    <n v="1"/>
    <n v="428.37"/>
    <n v="428.37"/>
    <n v="0"/>
    <n v="0"/>
    <n v="0"/>
    <n v="9"/>
    <n v="88.3"/>
  </r>
  <r>
    <s v="USR-101312"/>
    <d v="2025-01-19T00:00:00"/>
    <x v="1"/>
    <x v="1"/>
    <x v="0"/>
    <x v="0"/>
    <x v="0"/>
    <n v="0"/>
    <n v="0"/>
    <n v="0"/>
    <n v="0"/>
    <n v="0"/>
    <n v="0"/>
    <n v="0"/>
    <n v="0"/>
    <n v="0"/>
    <m/>
    <n v="83.4"/>
  </r>
  <r>
    <s v="USR-101313"/>
    <d v="2025-05-18T00:00:00"/>
    <x v="1"/>
    <x v="3"/>
    <x v="1"/>
    <x v="3"/>
    <x v="1"/>
    <n v="0"/>
    <n v="0"/>
    <n v="0"/>
    <n v="0"/>
    <n v="0"/>
    <n v="0"/>
    <n v="1"/>
    <n v="1"/>
    <n v="0"/>
    <m/>
    <n v="81.599999999999994"/>
  </r>
  <r>
    <s v="USR-101314"/>
    <d v="2025-01-23T00:00:00"/>
    <x v="1"/>
    <x v="2"/>
    <x v="2"/>
    <x v="4"/>
    <x v="2"/>
    <n v="1"/>
    <n v="0"/>
    <n v="0"/>
    <n v="0"/>
    <n v="0"/>
    <n v="0"/>
    <n v="0"/>
    <n v="0"/>
    <n v="0"/>
    <m/>
    <n v="91.6"/>
  </r>
  <r>
    <s v="USR-101315"/>
    <d v="2025-01-08T00:00:00"/>
    <x v="1"/>
    <x v="2"/>
    <x v="2"/>
    <x v="5"/>
    <x v="2"/>
    <n v="1"/>
    <n v="1"/>
    <n v="1"/>
    <n v="0"/>
    <n v="0"/>
    <n v="0"/>
    <n v="1"/>
    <n v="1"/>
    <n v="0"/>
    <m/>
    <n v="61.5"/>
  </r>
  <r>
    <s v="USR-101316"/>
    <d v="2025-02-19T00:00:00"/>
    <x v="1"/>
    <x v="0"/>
    <x v="1"/>
    <x v="1"/>
    <x v="2"/>
    <n v="0"/>
    <n v="0"/>
    <n v="0"/>
    <n v="0"/>
    <n v="0"/>
    <n v="0"/>
    <n v="0"/>
    <n v="0"/>
    <n v="0"/>
    <m/>
    <m/>
  </r>
  <r>
    <s v="USR-101317"/>
    <d v="2025-02-10T00:00:00"/>
    <x v="1"/>
    <x v="3"/>
    <x v="1"/>
    <x v="1"/>
    <x v="1"/>
    <n v="1"/>
    <n v="0"/>
    <n v="0"/>
    <n v="0"/>
    <n v="0"/>
    <n v="0"/>
    <n v="0"/>
    <n v="0"/>
    <n v="0"/>
    <m/>
    <n v="32.6"/>
  </r>
  <r>
    <s v="USR-101318"/>
    <d v="2025-04-13T00:00:00"/>
    <x v="1"/>
    <x v="3"/>
    <x v="1"/>
    <x v="2"/>
    <x v="1"/>
    <n v="1"/>
    <n v="0"/>
    <n v="0"/>
    <n v="0"/>
    <n v="0"/>
    <n v="0"/>
    <n v="0"/>
    <n v="0"/>
    <n v="0"/>
    <m/>
    <n v="73.900000000000006"/>
  </r>
  <r>
    <s v="USR-101319"/>
    <d v="2025-05-20T00:00:00"/>
    <x v="1"/>
    <x v="2"/>
    <x v="1"/>
    <x v="1"/>
    <x v="1"/>
    <n v="1"/>
    <n v="1"/>
    <n v="1"/>
    <n v="1"/>
    <n v="444.06"/>
    <n v="444.06"/>
    <n v="0"/>
    <n v="0"/>
    <n v="0"/>
    <n v="9"/>
    <n v="99.9"/>
  </r>
  <r>
    <s v="USR-101320"/>
    <d v="2025-05-13T00:00:00"/>
    <x v="1"/>
    <x v="3"/>
    <x v="1"/>
    <x v="2"/>
    <x v="0"/>
    <n v="1"/>
    <n v="1"/>
    <n v="0"/>
    <n v="0"/>
    <n v="0"/>
    <n v="0"/>
    <n v="1"/>
    <n v="1"/>
    <n v="0"/>
    <m/>
    <n v="62.4"/>
  </r>
  <r>
    <s v="USR-101321"/>
    <d v="2025-05-28T00:00:00"/>
    <x v="1"/>
    <x v="3"/>
    <x v="0"/>
    <x v="2"/>
    <x v="0"/>
    <n v="1"/>
    <n v="0"/>
    <n v="0"/>
    <n v="0"/>
    <n v="0"/>
    <n v="0"/>
    <n v="0"/>
    <n v="0"/>
    <n v="0"/>
    <m/>
    <n v="46.1"/>
  </r>
  <r>
    <s v="USR-101322"/>
    <d v="2025-03-19T00:00:00"/>
    <x v="1"/>
    <x v="1"/>
    <x v="1"/>
    <x v="1"/>
    <x v="1"/>
    <n v="1"/>
    <n v="1"/>
    <n v="1"/>
    <n v="1"/>
    <n v="2660.21"/>
    <n v="1496.19"/>
    <n v="0"/>
    <n v="0"/>
    <n v="0"/>
    <n v="3"/>
    <n v="73.900000000000006"/>
  </r>
  <r>
    <s v="USR-101323"/>
    <d v="2025-02-03T00:00:00"/>
    <x v="1"/>
    <x v="0"/>
    <x v="1"/>
    <x v="0"/>
    <x v="2"/>
    <n v="0"/>
    <n v="0"/>
    <n v="0"/>
    <n v="0"/>
    <n v="0"/>
    <n v="0"/>
    <n v="0"/>
    <n v="0"/>
    <n v="0"/>
    <m/>
    <n v="90"/>
  </r>
  <r>
    <s v="USR-101324"/>
    <d v="2025-02-26T00:00:00"/>
    <x v="1"/>
    <x v="3"/>
    <x v="1"/>
    <x v="0"/>
    <x v="0"/>
    <n v="1"/>
    <n v="0"/>
    <n v="0"/>
    <n v="0"/>
    <n v="0"/>
    <n v="0"/>
    <n v="1"/>
    <n v="1"/>
    <n v="0"/>
    <m/>
    <n v="68.8"/>
  </r>
  <r>
    <s v="USR-101325"/>
    <d v="2025-01-26T00:00:00"/>
    <x v="1"/>
    <x v="1"/>
    <x v="1"/>
    <x v="2"/>
    <x v="1"/>
    <n v="1"/>
    <n v="0"/>
    <n v="0"/>
    <n v="0"/>
    <n v="0"/>
    <n v="0"/>
    <n v="0"/>
    <n v="0"/>
    <n v="0"/>
    <m/>
    <n v="66.599999999999994"/>
  </r>
  <r>
    <s v="USR-101326"/>
    <d v="2025-05-13T00:00:00"/>
    <x v="1"/>
    <x v="0"/>
    <x v="1"/>
    <x v="1"/>
    <x v="2"/>
    <n v="1"/>
    <n v="0"/>
    <n v="0"/>
    <n v="0"/>
    <n v="0"/>
    <n v="0"/>
    <n v="0"/>
    <n v="0"/>
    <n v="0"/>
    <m/>
    <n v="49.7"/>
  </r>
  <r>
    <s v="USR-101327"/>
    <d v="2025-02-02T00:00:00"/>
    <x v="1"/>
    <x v="3"/>
    <x v="1"/>
    <x v="2"/>
    <x v="0"/>
    <n v="0"/>
    <n v="0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x v="0"/>
    <n v="0"/>
    <n v="0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x v="1"/>
    <n v="0"/>
    <n v="0"/>
    <n v="0"/>
    <n v="0"/>
    <n v="0"/>
    <n v="0"/>
    <n v="0"/>
    <n v="0"/>
    <n v="0"/>
    <m/>
    <n v="46.1"/>
  </r>
  <r>
    <s v="USR-101330"/>
    <d v="2025-04-09T00:00:00"/>
    <x v="1"/>
    <x v="1"/>
    <x v="0"/>
    <x v="3"/>
    <x v="2"/>
    <n v="1"/>
    <n v="0"/>
    <n v="0"/>
    <n v="0"/>
    <n v="0"/>
    <n v="0"/>
    <n v="0"/>
    <n v="0"/>
    <n v="0"/>
    <m/>
    <n v="85.6"/>
  </r>
  <r>
    <s v="USR-101331"/>
    <d v="2025-01-22T00:00:00"/>
    <x v="1"/>
    <x v="3"/>
    <x v="2"/>
    <x v="1"/>
    <x v="1"/>
    <n v="0"/>
    <n v="0"/>
    <n v="0"/>
    <n v="0"/>
    <n v="0"/>
    <n v="0"/>
    <n v="0"/>
    <n v="0"/>
    <n v="0"/>
    <m/>
    <n v="39.6"/>
  </r>
  <r>
    <s v="USR-101332"/>
    <d v="2025-01-27T00:00:00"/>
    <x v="1"/>
    <x v="3"/>
    <x v="1"/>
    <x v="1"/>
    <x v="0"/>
    <n v="1"/>
    <n v="0"/>
    <n v="0"/>
    <n v="0"/>
    <n v="0"/>
    <n v="0"/>
    <n v="0"/>
    <n v="0"/>
    <n v="0"/>
    <m/>
    <n v="52.5"/>
  </r>
  <r>
    <s v="USR-101333"/>
    <d v="2025-01-22T00:00:00"/>
    <x v="1"/>
    <x v="2"/>
    <x v="1"/>
    <x v="4"/>
    <x v="2"/>
    <n v="1"/>
    <n v="0"/>
    <n v="0"/>
    <n v="0"/>
    <n v="0"/>
    <n v="0"/>
    <n v="0"/>
    <n v="0"/>
    <n v="0"/>
    <m/>
    <n v="73.5"/>
  </r>
  <r>
    <s v="USR-101334"/>
    <d v="2025-01-06T00:00:00"/>
    <x v="1"/>
    <x v="1"/>
    <x v="0"/>
    <x v="2"/>
    <x v="1"/>
    <n v="0"/>
    <n v="0"/>
    <n v="0"/>
    <n v="0"/>
    <n v="0"/>
    <n v="0"/>
    <n v="0"/>
    <n v="0"/>
    <n v="0"/>
    <m/>
    <n v="62.5"/>
  </r>
  <r>
    <s v="USR-101335"/>
    <d v="2025-04-16T00:00:00"/>
    <x v="1"/>
    <x v="3"/>
    <x v="3"/>
    <x v="1"/>
    <x v="1"/>
    <n v="1"/>
    <n v="0"/>
    <n v="0"/>
    <n v="0"/>
    <n v="0"/>
    <n v="0"/>
    <n v="0"/>
    <n v="0"/>
    <n v="0"/>
    <m/>
    <n v="76.900000000000006"/>
  </r>
  <r>
    <s v="USR-101336"/>
    <d v="2025-04-14T00:00:00"/>
    <x v="1"/>
    <x v="3"/>
    <x v="1"/>
    <x v="1"/>
    <x v="1"/>
    <n v="1"/>
    <n v="0"/>
    <n v="0"/>
    <n v="0"/>
    <n v="0"/>
    <n v="0"/>
    <n v="0"/>
    <n v="0"/>
    <n v="0"/>
    <m/>
    <n v="51.4"/>
  </r>
  <r>
    <s v="USR-101337"/>
    <d v="2025-02-22T00:00:00"/>
    <x v="1"/>
    <x v="1"/>
    <x v="1"/>
    <x v="2"/>
    <x v="0"/>
    <n v="1"/>
    <n v="0"/>
    <n v="0"/>
    <n v="0"/>
    <n v="0"/>
    <n v="0"/>
    <n v="0"/>
    <n v="0"/>
    <n v="0"/>
    <m/>
    <n v="59.3"/>
  </r>
  <r>
    <s v="USR-101338"/>
    <d v="2025-03-09T00:00:00"/>
    <x v="1"/>
    <x v="0"/>
    <x v="1"/>
    <x v="1"/>
    <x v="0"/>
    <n v="0"/>
    <n v="0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x v="1"/>
    <n v="1"/>
    <n v="0"/>
    <n v="0"/>
    <n v="0"/>
    <n v="0"/>
    <n v="0"/>
    <n v="0"/>
    <n v="0"/>
    <n v="0"/>
    <m/>
    <n v="67"/>
  </r>
  <r>
    <s v="USR-101340"/>
    <d v="2025-03-10T00:00:00"/>
    <x v="1"/>
    <x v="3"/>
    <x v="1"/>
    <x v="0"/>
    <x v="1"/>
    <n v="0"/>
    <n v="0"/>
    <n v="0"/>
    <n v="0"/>
    <n v="0"/>
    <n v="0"/>
    <n v="0"/>
    <n v="0"/>
    <n v="0"/>
    <m/>
    <n v="63.6"/>
  </r>
  <r>
    <s v="USR-101341"/>
    <d v="2025-02-21T00:00:00"/>
    <x v="1"/>
    <x v="3"/>
    <x v="1"/>
    <x v="0"/>
    <x v="1"/>
    <n v="1"/>
    <n v="1"/>
    <n v="0"/>
    <n v="0"/>
    <n v="0"/>
    <n v="0"/>
    <n v="1"/>
    <n v="1"/>
    <n v="0"/>
    <m/>
    <n v="58.4"/>
  </r>
  <r>
    <s v="USR-101342"/>
    <d v="2025-01-06T00:00:00"/>
    <x v="1"/>
    <x v="0"/>
    <x v="0"/>
    <x v="4"/>
    <x v="1"/>
    <n v="1"/>
    <n v="0"/>
    <n v="0"/>
    <n v="0"/>
    <n v="0"/>
    <n v="0"/>
    <n v="0"/>
    <n v="0"/>
    <n v="0"/>
    <m/>
    <n v="36.799999999999997"/>
  </r>
  <r>
    <s v="USR-101343"/>
    <d v="2025-04-17T00:00:00"/>
    <x v="1"/>
    <x v="3"/>
    <x v="1"/>
    <x v="1"/>
    <x v="2"/>
    <n v="1"/>
    <n v="0"/>
    <n v="0"/>
    <n v="0"/>
    <n v="0"/>
    <n v="0"/>
    <n v="0"/>
    <n v="0"/>
    <n v="0"/>
    <m/>
    <n v="71.599999999999994"/>
  </r>
  <r>
    <s v="USR-101344"/>
    <d v="2025-05-23T00:00:00"/>
    <x v="1"/>
    <x v="3"/>
    <x v="1"/>
    <x v="0"/>
    <x v="0"/>
    <n v="1"/>
    <n v="1"/>
    <n v="0"/>
    <n v="0"/>
    <n v="0"/>
    <n v="0"/>
    <n v="1"/>
    <n v="1"/>
    <n v="0"/>
    <m/>
    <n v="79.7"/>
  </r>
  <r>
    <s v="USR-101345"/>
    <d v="2025-03-14T00:00:00"/>
    <x v="1"/>
    <x v="1"/>
    <x v="0"/>
    <x v="1"/>
    <x v="0"/>
    <n v="1"/>
    <n v="0"/>
    <n v="0"/>
    <n v="0"/>
    <n v="0"/>
    <n v="0"/>
    <n v="1"/>
    <n v="1"/>
    <n v="0"/>
    <m/>
    <n v="56.5"/>
  </r>
  <r>
    <s v="USR-101346"/>
    <d v="2025-04-21T00:00:00"/>
    <x v="1"/>
    <x v="0"/>
    <x v="1"/>
    <x v="4"/>
    <x v="2"/>
    <n v="1"/>
    <n v="0"/>
    <n v="0"/>
    <n v="0"/>
    <n v="0"/>
    <n v="0"/>
    <n v="0"/>
    <n v="0"/>
    <n v="0"/>
    <m/>
    <n v="44.7"/>
  </r>
  <r>
    <s v="USR-101347"/>
    <d v="2025-01-03T00:00:00"/>
    <x v="1"/>
    <x v="3"/>
    <x v="1"/>
    <x v="4"/>
    <x v="1"/>
    <n v="1"/>
    <n v="1"/>
    <n v="1"/>
    <n v="0"/>
    <n v="0"/>
    <n v="0"/>
    <n v="1"/>
    <n v="1"/>
    <n v="0"/>
    <m/>
    <n v="66"/>
  </r>
  <r>
    <s v="USR-101348"/>
    <d v="2025-05-09T00:00:00"/>
    <x v="1"/>
    <x v="0"/>
    <x v="0"/>
    <x v="1"/>
    <x v="0"/>
    <n v="1"/>
    <n v="0"/>
    <n v="0"/>
    <n v="0"/>
    <n v="0"/>
    <n v="0"/>
    <n v="0"/>
    <n v="0"/>
    <n v="0"/>
    <m/>
    <n v="73"/>
  </r>
  <r>
    <s v="USR-101349"/>
    <d v="2025-05-22T00:00:00"/>
    <x v="1"/>
    <x v="3"/>
    <x v="1"/>
    <x v="1"/>
    <x v="0"/>
    <n v="1"/>
    <n v="1"/>
    <n v="1"/>
    <n v="0"/>
    <n v="0"/>
    <n v="0"/>
    <n v="1"/>
    <n v="1"/>
    <n v="0"/>
    <m/>
    <n v="72.5"/>
  </r>
  <r>
    <s v="USR-101350"/>
    <d v="2025-05-07T00:00:00"/>
    <x v="1"/>
    <x v="3"/>
    <x v="0"/>
    <x v="2"/>
    <x v="1"/>
    <n v="1"/>
    <n v="1"/>
    <n v="1"/>
    <n v="1"/>
    <n v="323.60000000000002"/>
    <n v="323.60000000000002"/>
    <n v="0"/>
    <n v="0"/>
    <n v="0"/>
    <n v="6"/>
    <n v="100"/>
  </r>
  <r>
    <s v="USR-101351"/>
    <d v="2025-02-08T00:00:00"/>
    <x v="1"/>
    <x v="2"/>
    <x v="1"/>
    <x v="4"/>
    <x v="1"/>
    <n v="0"/>
    <n v="0"/>
    <n v="0"/>
    <n v="0"/>
    <n v="0"/>
    <n v="0"/>
    <n v="1"/>
    <n v="1"/>
    <n v="0"/>
    <m/>
    <n v="90.5"/>
  </r>
  <r>
    <s v="USR-101352"/>
    <d v="2025-04-03T00:00:00"/>
    <x v="1"/>
    <x v="0"/>
    <x v="2"/>
    <x v="4"/>
    <x v="0"/>
    <n v="1"/>
    <n v="0"/>
    <n v="0"/>
    <n v="0"/>
    <n v="0"/>
    <n v="0"/>
    <n v="0"/>
    <n v="0"/>
    <n v="0"/>
    <m/>
    <n v="70.2"/>
  </r>
  <r>
    <s v="USR-101353"/>
    <d v="2025-04-17T00:00:00"/>
    <x v="1"/>
    <x v="2"/>
    <x v="0"/>
    <x v="2"/>
    <x v="1"/>
    <n v="1"/>
    <n v="0"/>
    <n v="0"/>
    <n v="0"/>
    <n v="0"/>
    <n v="0"/>
    <n v="1"/>
    <n v="1"/>
    <n v="0"/>
    <m/>
    <n v="67.099999999999994"/>
  </r>
  <r>
    <s v="USR-101354"/>
    <d v="2025-05-04T00:00:00"/>
    <x v="1"/>
    <x v="2"/>
    <x v="1"/>
    <x v="1"/>
    <x v="1"/>
    <n v="0"/>
    <n v="0"/>
    <n v="0"/>
    <n v="0"/>
    <n v="0"/>
    <n v="0"/>
    <n v="0"/>
    <n v="0"/>
    <n v="0"/>
    <m/>
    <n v="54.5"/>
  </r>
  <r>
    <s v="USR-101355"/>
    <d v="2025-05-11T00:00:00"/>
    <x v="1"/>
    <x v="1"/>
    <x v="0"/>
    <x v="1"/>
    <x v="1"/>
    <n v="1"/>
    <n v="0"/>
    <n v="0"/>
    <n v="0"/>
    <n v="0"/>
    <n v="0"/>
    <n v="0"/>
    <n v="0"/>
    <n v="0"/>
    <m/>
    <n v="63.4"/>
  </r>
  <r>
    <s v="USR-101356"/>
    <d v="2025-03-01T00:00:00"/>
    <x v="1"/>
    <x v="0"/>
    <x v="0"/>
    <x v="5"/>
    <x v="1"/>
    <n v="1"/>
    <n v="1"/>
    <n v="1"/>
    <n v="0"/>
    <n v="0"/>
    <n v="0"/>
    <n v="0"/>
    <n v="0"/>
    <n v="0"/>
    <m/>
    <n v="84.3"/>
  </r>
  <r>
    <s v="USR-101357"/>
    <d v="2025-02-20T00:00:00"/>
    <x v="1"/>
    <x v="1"/>
    <x v="0"/>
    <x v="1"/>
    <x v="1"/>
    <n v="1"/>
    <n v="0"/>
    <n v="0"/>
    <n v="0"/>
    <n v="0"/>
    <n v="0"/>
    <n v="1"/>
    <n v="1"/>
    <n v="0"/>
    <m/>
    <n v="55"/>
  </r>
  <r>
    <s v="USR-101358"/>
    <d v="2025-05-09T00:00:00"/>
    <x v="1"/>
    <x v="1"/>
    <x v="1"/>
    <x v="4"/>
    <x v="1"/>
    <n v="1"/>
    <n v="0"/>
    <n v="0"/>
    <n v="0"/>
    <n v="0"/>
    <n v="0"/>
    <n v="0"/>
    <n v="0"/>
    <n v="0"/>
    <m/>
    <n v="63.6"/>
  </r>
  <r>
    <s v="USR-101359"/>
    <d v="2025-04-30T00:00:00"/>
    <x v="1"/>
    <x v="1"/>
    <x v="1"/>
    <x v="1"/>
    <x v="1"/>
    <n v="1"/>
    <n v="0"/>
    <n v="0"/>
    <n v="0"/>
    <n v="0"/>
    <n v="0"/>
    <n v="0"/>
    <n v="0"/>
    <n v="0"/>
    <m/>
    <n v="55.5"/>
  </r>
  <r>
    <s v="USR-101360"/>
    <d v="2025-01-07T00:00:00"/>
    <x v="1"/>
    <x v="3"/>
    <x v="1"/>
    <x v="4"/>
    <x v="0"/>
    <n v="0"/>
    <n v="0"/>
    <n v="0"/>
    <n v="0"/>
    <n v="0"/>
    <n v="0"/>
    <n v="0"/>
    <n v="0"/>
    <n v="0"/>
    <m/>
    <n v="50.5"/>
  </r>
  <r>
    <s v="USR-101361"/>
    <d v="2025-04-30T00:00:00"/>
    <x v="1"/>
    <x v="0"/>
    <x v="1"/>
    <x v="4"/>
    <x v="0"/>
    <n v="1"/>
    <n v="0"/>
    <n v="0"/>
    <n v="0"/>
    <n v="0"/>
    <n v="0"/>
    <n v="0"/>
    <n v="0"/>
    <n v="0"/>
    <m/>
    <n v="45.3"/>
  </r>
  <r>
    <s v="USR-101362"/>
    <d v="2025-05-23T00:00:00"/>
    <x v="1"/>
    <x v="2"/>
    <x v="1"/>
    <x v="1"/>
    <x v="0"/>
    <n v="1"/>
    <n v="0"/>
    <n v="0"/>
    <n v="0"/>
    <n v="0"/>
    <n v="0"/>
    <n v="0"/>
    <n v="0"/>
    <n v="0"/>
    <m/>
    <n v="33.6"/>
  </r>
  <r>
    <s v="USR-101363"/>
    <d v="2025-03-12T00:00:00"/>
    <x v="1"/>
    <x v="3"/>
    <x v="1"/>
    <x v="2"/>
    <x v="2"/>
    <n v="1"/>
    <n v="1"/>
    <n v="1"/>
    <n v="0"/>
    <n v="0"/>
    <n v="0"/>
    <n v="0"/>
    <n v="0"/>
    <n v="0"/>
    <m/>
    <n v="88.2"/>
  </r>
  <r>
    <s v="USR-101364"/>
    <d v="2025-02-17T00:00:00"/>
    <x v="1"/>
    <x v="0"/>
    <x v="1"/>
    <x v="1"/>
    <x v="2"/>
    <n v="1"/>
    <n v="0"/>
    <n v="0"/>
    <n v="0"/>
    <n v="0"/>
    <n v="0"/>
    <n v="0"/>
    <n v="0"/>
    <n v="0"/>
    <m/>
    <n v="51.8"/>
  </r>
  <r>
    <s v="USR-101365"/>
    <d v="2025-05-27T00:00:00"/>
    <x v="1"/>
    <x v="0"/>
    <x v="0"/>
    <x v="1"/>
    <x v="0"/>
    <n v="0"/>
    <n v="0"/>
    <n v="0"/>
    <n v="0"/>
    <n v="0"/>
    <n v="0"/>
    <n v="0"/>
    <n v="0"/>
    <n v="0"/>
    <m/>
    <n v="87.9"/>
  </r>
  <r>
    <s v="USR-101366"/>
    <d v="2025-05-10T00:00:00"/>
    <x v="1"/>
    <x v="3"/>
    <x v="1"/>
    <x v="4"/>
    <x v="2"/>
    <n v="1"/>
    <n v="0"/>
    <n v="0"/>
    <n v="0"/>
    <n v="0"/>
    <n v="0"/>
    <n v="2"/>
    <n v="1"/>
    <n v="0"/>
    <m/>
    <n v="70.5"/>
  </r>
  <r>
    <s v="USR-101367"/>
    <d v="2025-01-20T00:00:00"/>
    <x v="1"/>
    <x v="0"/>
    <x v="1"/>
    <x v="1"/>
    <x v="0"/>
    <n v="1"/>
    <n v="1"/>
    <n v="0"/>
    <n v="0"/>
    <n v="0"/>
    <n v="0"/>
    <n v="2"/>
    <n v="1"/>
    <n v="0"/>
    <m/>
    <n v="58.5"/>
  </r>
  <r>
    <s v="USR-101368"/>
    <d v="2025-01-19T00:00:00"/>
    <x v="1"/>
    <x v="2"/>
    <x v="1"/>
    <x v="3"/>
    <x v="1"/>
    <n v="1"/>
    <n v="0"/>
    <n v="0"/>
    <n v="0"/>
    <n v="0"/>
    <n v="0"/>
    <n v="0"/>
    <n v="0"/>
    <n v="0"/>
    <m/>
    <n v="65.599999999999994"/>
  </r>
  <r>
    <s v="USR-101369"/>
    <d v="2025-03-07T00:00:00"/>
    <x v="1"/>
    <x v="1"/>
    <x v="0"/>
    <x v="2"/>
    <x v="0"/>
    <n v="1"/>
    <n v="1"/>
    <n v="0"/>
    <n v="0"/>
    <n v="0"/>
    <n v="0"/>
    <n v="0"/>
    <n v="0"/>
    <n v="0"/>
    <m/>
    <n v="62.7"/>
  </r>
  <r>
    <s v="USR-101370"/>
    <d v="2025-02-02T00:00:00"/>
    <x v="1"/>
    <x v="2"/>
    <x v="1"/>
    <x v="1"/>
    <x v="1"/>
    <n v="0"/>
    <n v="0"/>
    <n v="0"/>
    <n v="0"/>
    <n v="0"/>
    <n v="0"/>
    <n v="1"/>
    <n v="1"/>
    <n v="0"/>
    <m/>
    <n v="50.9"/>
  </r>
  <r>
    <s v="USR-101371"/>
    <d v="2025-03-07T00:00:00"/>
    <x v="1"/>
    <x v="0"/>
    <x v="1"/>
    <x v="1"/>
    <x v="1"/>
    <n v="0"/>
    <n v="0"/>
    <n v="0"/>
    <n v="0"/>
    <n v="0"/>
    <n v="0"/>
    <n v="1"/>
    <n v="1"/>
    <n v="0"/>
    <m/>
    <n v="60.6"/>
  </r>
  <r>
    <s v="USR-101372"/>
    <d v="2025-03-30T00:00:00"/>
    <x v="1"/>
    <x v="2"/>
    <x v="0"/>
    <x v="1"/>
    <x v="1"/>
    <n v="1"/>
    <n v="1"/>
    <n v="1"/>
    <n v="0"/>
    <n v="0"/>
    <n v="0"/>
    <n v="0"/>
    <n v="0"/>
    <n v="0"/>
    <m/>
    <n v="76.599999999999994"/>
  </r>
  <r>
    <s v="USR-101373"/>
    <d v="2025-05-05T00:00:00"/>
    <x v="1"/>
    <x v="2"/>
    <x v="0"/>
    <x v="2"/>
    <x v="1"/>
    <n v="1"/>
    <n v="1"/>
    <n v="1"/>
    <n v="0"/>
    <n v="0"/>
    <n v="0"/>
    <n v="0"/>
    <n v="0"/>
    <n v="0"/>
    <m/>
    <n v="54.4"/>
  </r>
  <r>
    <s v="USR-101374"/>
    <d v="2025-04-11T00:00:00"/>
    <x v="1"/>
    <x v="3"/>
    <x v="1"/>
    <x v="4"/>
    <x v="1"/>
    <n v="1"/>
    <n v="0"/>
    <n v="0"/>
    <n v="0"/>
    <n v="0"/>
    <n v="0"/>
    <n v="0"/>
    <n v="0"/>
    <n v="0"/>
    <m/>
    <n v="31.2"/>
  </r>
  <r>
    <s v="USR-101375"/>
    <d v="2025-03-25T00:00:00"/>
    <x v="1"/>
    <x v="1"/>
    <x v="0"/>
    <x v="0"/>
    <x v="2"/>
    <n v="1"/>
    <n v="0"/>
    <n v="0"/>
    <n v="0"/>
    <n v="0"/>
    <n v="0"/>
    <n v="0"/>
    <n v="0"/>
    <n v="0"/>
    <m/>
    <n v="72.400000000000006"/>
  </r>
  <r>
    <s v="USR-101376"/>
    <d v="2025-03-24T00:00:00"/>
    <x v="1"/>
    <x v="0"/>
    <x v="1"/>
    <x v="1"/>
    <x v="2"/>
    <n v="1"/>
    <n v="0"/>
    <n v="0"/>
    <n v="0"/>
    <n v="0"/>
    <n v="0"/>
    <n v="0"/>
    <n v="0"/>
    <n v="0"/>
    <m/>
    <n v="74.5"/>
  </r>
  <r>
    <s v="USR-101377"/>
    <d v="2025-04-27T00:00:00"/>
    <x v="1"/>
    <x v="2"/>
    <x v="1"/>
    <x v="1"/>
    <x v="0"/>
    <n v="0"/>
    <n v="0"/>
    <n v="0"/>
    <n v="0"/>
    <n v="0"/>
    <n v="0"/>
    <n v="0"/>
    <n v="0"/>
    <n v="0"/>
    <m/>
    <n v="52.6"/>
  </r>
  <r>
    <s v="USR-101378"/>
    <d v="2025-01-25T00:00:00"/>
    <x v="1"/>
    <x v="0"/>
    <x v="0"/>
    <x v="2"/>
    <x v="1"/>
    <n v="1"/>
    <n v="0"/>
    <n v="0"/>
    <n v="0"/>
    <n v="0"/>
    <n v="0"/>
    <n v="0"/>
    <n v="0"/>
    <n v="0"/>
    <m/>
    <n v="75.400000000000006"/>
  </r>
  <r>
    <s v="USR-101379"/>
    <d v="2025-02-17T00:00:00"/>
    <x v="1"/>
    <x v="0"/>
    <x v="2"/>
    <x v="4"/>
    <x v="0"/>
    <n v="1"/>
    <n v="1"/>
    <n v="1"/>
    <n v="1"/>
    <n v="751.33"/>
    <n v="751.33"/>
    <n v="0"/>
    <n v="0"/>
    <n v="0"/>
    <n v="9"/>
    <n v="34"/>
  </r>
  <r>
    <s v="USR-101380"/>
    <d v="2025-04-13T00:00:00"/>
    <x v="1"/>
    <x v="3"/>
    <x v="0"/>
    <x v="1"/>
    <x v="1"/>
    <n v="1"/>
    <n v="0"/>
    <n v="0"/>
    <n v="0"/>
    <n v="0"/>
    <n v="0"/>
    <n v="0"/>
    <n v="0"/>
    <n v="0"/>
    <m/>
    <n v="67.099999999999994"/>
  </r>
  <r>
    <s v="USR-101381"/>
    <d v="2025-05-03T00:00:00"/>
    <x v="1"/>
    <x v="1"/>
    <x v="0"/>
    <x v="2"/>
    <x v="2"/>
    <n v="1"/>
    <n v="0"/>
    <n v="0"/>
    <n v="0"/>
    <n v="0"/>
    <n v="0"/>
    <n v="0"/>
    <n v="0"/>
    <n v="0"/>
    <m/>
    <n v="37.299999999999997"/>
  </r>
  <r>
    <s v="USR-101382"/>
    <d v="2025-04-29T00:00:00"/>
    <x v="1"/>
    <x v="1"/>
    <x v="1"/>
    <x v="0"/>
    <x v="1"/>
    <n v="1"/>
    <n v="0"/>
    <n v="0"/>
    <n v="0"/>
    <n v="0"/>
    <n v="0"/>
    <n v="0"/>
    <n v="0"/>
    <n v="0"/>
    <m/>
    <n v="54.7"/>
  </r>
  <r>
    <s v="USR-101383"/>
    <d v="2025-05-03T00:00:00"/>
    <x v="1"/>
    <x v="2"/>
    <x v="0"/>
    <x v="2"/>
    <x v="1"/>
    <n v="1"/>
    <n v="0"/>
    <n v="0"/>
    <n v="0"/>
    <n v="0"/>
    <n v="0"/>
    <n v="0"/>
    <n v="0"/>
    <n v="0"/>
    <m/>
    <n v="51.8"/>
  </r>
  <r>
    <s v="USR-101384"/>
    <d v="2025-04-28T00:00:00"/>
    <x v="1"/>
    <x v="1"/>
    <x v="1"/>
    <x v="2"/>
    <x v="1"/>
    <n v="0"/>
    <n v="0"/>
    <n v="0"/>
    <n v="0"/>
    <n v="0"/>
    <n v="0"/>
    <n v="0"/>
    <n v="0"/>
    <n v="0"/>
    <m/>
    <n v="49.2"/>
  </r>
  <r>
    <s v="USR-101385"/>
    <d v="2025-01-21T00:00:00"/>
    <x v="1"/>
    <x v="1"/>
    <x v="1"/>
    <x v="1"/>
    <x v="1"/>
    <n v="1"/>
    <n v="0"/>
    <n v="0"/>
    <n v="0"/>
    <n v="0"/>
    <n v="0"/>
    <n v="2"/>
    <n v="1"/>
    <n v="0"/>
    <m/>
    <n v="58.8"/>
  </r>
  <r>
    <s v="USR-101386"/>
    <d v="2025-01-21T00:00:00"/>
    <x v="1"/>
    <x v="0"/>
    <x v="2"/>
    <x v="2"/>
    <x v="0"/>
    <n v="0"/>
    <n v="0"/>
    <n v="0"/>
    <n v="0"/>
    <n v="0"/>
    <n v="0"/>
    <n v="1"/>
    <n v="1"/>
    <n v="0"/>
    <m/>
    <n v="59.1"/>
  </r>
  <r>
    <s v="USR-101387"/>
    <d v="2025-05-21T00:00:00"/>
    <x v="1"/>
    <x v="1"/>
    <x v="0"/>
    <x v="2"/>
    <x v="1"/>
    <n v="1"/>
    <n v="0"/>
    <n v="0"/>
    <n v="0"/>
    <n v="0"/>
    <n v="0"/>
    <n v="2"/>
    <n v="1"/>
    <n v="0"/>
    <m/>
    <n v="49.6"/>
  </r>
  <r>
    <s v="USR-101388"/>
    <d v="2025-01-05T00:00:00"/>
    <x v="1"/>
    <x v="0"/>
    <x v="1"/>
    <x v="3"/>
    <x v="1"/>
    <n v="0"/>
    <n v="0"/>
    <n v="0"/>
    <n v="0"/>
    <n v="0"/>
    <n v="0"/>
    <n v="0"/>
    <n v="0"/>
    <n v="0"/>
    <m/>
    <n v="58.2"/>
  </r>
  <r>
    <s v="USR-101389"/>
    <d v="2025-03-06T00:00:00"/>
    <x v="1"/>
    <x v="3"/>
    <x v="0"/>
    <x v="1"/>
    <x v="1"/>
    <n v="1"/>
    <n v="0"/>
    <n v="0"/>
    <n v="0"/>
    <n v="0"/>
    <n v="0"/>
    <n v="0"/>
    <n v="0"/>
    <n v="0"/>
    <m/>
    <n v="66.8"/>
  </r>
  <r>
    <s v="USR-101390"/>
    <d v="2025-04-18T00:00:00"/>
    <x v="1"/>
    <x v="0"/>
    <x v="1"/>
    <x v="2"/>
    <x v="1"/>
    <n v="1"/>
    <n v="0"/>
    <n v="0"/>
    <n v="0"/>
    <n v="0"/>
    <n v="0"/>
    <n v="3"/>
    <n v="1"/>
    <n v="0"/>
    <m/>
    <n v="58.3"/>
  </r>
  <r>
    <s v="USR-101391"/>
    <d v="2025-04-15T00:00:00"/>
    <x v="1"/>
    <x v="1"/>
    <x v="1"/>
    <x v="1"/>
    <x v="0"/>
    <n v="1"/>
    <n v="1"/>
    <n v="1"/>
    <n v="0"/>
    <n v="0"/>
    <n v="0"/>
    <n v="0"/>
    <n v="0"/>
    <n v="0"/>
    <m/>
    <n v="38.5"/>
  </r>
  <r>
    <s v="USR-101392"/>
    <d v="2025-02-10T00:00:00"/>
    <x v="1"/>
    <x v="2"/>
    <x v="1"/>
    <x v="2"/>
    <x v="1"/>
    <n v="1"/>
    <n v="0"/>
    <n v="0"/>
    <n v="0"/>
    <n v="0"/>
    <n v="0"/>
    <n v="0"/>
    <n v="0"/>
    <n v="0"/>
    <m/>
    <n v="76.900000000000006"/>
  </r>
  <r>
    <s v="USR-101393"/>
    <d v="2025-05-08T00:00:00"/>
    <x v="1"/>
    <x v="2"/>
    <x v="1"/>
    <x v="1"/>
    <x v="1"/>
    <n v="1"/>
    <n v="0"/>
    <n v="0"/>
    <n v="0"/>
    <n v="0"/>
    <n v="0"/>
    <n v="0"/>
    <n v="0"/>
    <n v="0"/>
    <m/>
    <n v="54"/>
  </r>
  <r>
    <s v="USR-101394"/>
    <d v="2025-05-28T00:00:00"/>
    <x v="1"/>
    <x v="2"/>
    <x v="2"/>
    <x v="1"/>
    <x v="1"/>
    <n v="1"/>
    <n v="0"/>
    <n v="0"/>
    <n v="0"/>
    <n v="0"/>
    <n v="0"/>
    <n v="0"/>
    <n v="0"/>
    <n v="0"/>
    <m/>
    <n v="70.599999999999994"/>
  </r>
  <r>
    <s v="USR-101395"/>
    <d v="2025-04-25T00:00:00"/>
    <x v="1"/>
    <x v="0"/>
    <x v="2"/>
    <x v="3"/>
    <x v="2"/>
    <n v="1"/>
    <n v="1"/>
    <n v="1"/>
    <n v="0"/>
    <n v="0"/>
    <n v="0"/>
    <n v="1"/>
    <n v="1"/>
    <n v="0"/>
    <m/>
    <n v="69.400000000000006"/>
  </r>
  <r>
    <s v="USR-101396"/>
    <d v="2025-02-11T00:00:00"/>
    <x v="1"/>
    <x v="3"/>
    <x v="1"/>
    <x v="5"/>
    <x v="2"/>
    <n v="1"/>
    <n v="1"/>
    <n v="1"/>
    <n v="1"/>
    <n v="1009.9"/>
    <n v="1009.9"/>
    <n v="0"/>
    <n v="0"/>
    <n v="0"/>
    <n v="6"/>
    <n v="89.7"/>
  </r>
  <r>
    <s v="USR-101397"/>
    <d v="2025-04-14T00:00:00"/>
    <x v="1"/>
    <x v="1"/>
    <x v="1"/>
    <x v="1"/>
    <x v="1"/>
    <n v="1"/>
    <n v="0"/>
    <n v="0"/>
    <n v="0"/>
    <n v="0"/>
    <n v="0"/>
    <n v="0"/>
    <n v="0"/>
    <n v="0"/>
    <m/>
    <n v="62.4"/>
  </r>
  <r>
    <s v="USR-101398"/>
    <d v="2025-02-04T00:00:00"/>
    <x v="1"/>
    <x v="1"/>
    <x v="2"/>
    <x v="1"/>
    <x v="2"/>
    <n v="0"/>
    <n v="0"/>
    <n v="0"/>
    <n v="0"/>
    <n v="0"/>
    <n v="0"/>
    <n v="0"/>
    <n v="0"/>
    <n v="0"/>
    <m/>
    <n v="67.3"/>
  </r>
  <r>
    <s v="USR-101399"/>
    <d v="2025-03-22T00:00:00"/>
    <x v="1"/>
    <x v="2"/>
    <x v="1"/>
    <x v="3"/>
    <x v="1"/>
    <n v="1"/>
    <n v="0"/>
    <n v="0"/>
    <n v="0"/>
    <n v="0"/>
    <n v="0"/>
    <n v="0"/>
    <n v="0"/>
    <n v="0"/>
    <m/>
    <n v="54.9"/>
  </r>
  <r>
    <s v="USR-101400"/>
    <d v="2025-04-18T00:00:00"/>
    <x v="1"/>
    <x v="2"/>
    <x v="0"/>
    <x v="4"/>
    <x v="1"/>
    <n v="0"/>
    <n v="0"/>
    <n v="0"/>
    <n v="0"/>
    <n v="0"/>
    <n v="0"/>
    <n v="0"/>
    <n v="0"/>
    <n v="0"/>
    <m/>
    <n v="55.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x v="0"/>
    <n v="0"/>
    <n v="0"/>
    <n v="0"/>
    <n v="0"/>
    <n v="0"/>
    <n v="0"/>
    <n v="0"/>
    <m/>
    <n v="45.7"/>
    <n v="102"/>
    <n v="176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  <m/>
    <m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  <n v="690"/>
    <n v="710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  <m/>
    <m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  <n v="0.14782608695652175"/>
    <n v="0.24788732394366197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  <m/>
    <m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  <m/>
    <m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  <m/>
    <m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  <m/>
    <m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  <m/>
    <m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  <m/>
    <m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  <m/>
    <m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  <m/>
    <m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  <m/>
    <m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  <m/>
    <m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  <m/>
    <m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  <m/>
    <m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  <m/>
    <m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  <m/>
    <m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  <m/>
    <m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  <m/>
    <m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  <m/>
    <m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  <m/>
    <m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  <m/>
    <m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  <m/>
    <m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  <m/>
    <m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  <m/>
    <m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  <m/>
    <m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  <m/>
    <m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  <m/>
    <m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  <m/>
    <m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  <m/>
    <m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  <m/>
    <m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  <m/>
    <m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  <m/>
    <m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  <m/>
    <m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  <m/>
    <m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  <m/>
    <m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  <m/>
    <m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  <m/>
    <m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  <m/>
    <m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  <m/>
    <m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  <m/>
    <m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  <m/>
    <m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  <m/>
    <m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  <m/>
    <m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  <m/>
    <m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  <m/>
    <m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  <m/>
    <m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  <m/>
    <m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  <m/>
    <m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  <m/>
    <m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  <m/>
    <m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  <m/>
    <m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  <m/>
    <m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  <m/>
    <m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  <m/>
    <m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  <m/>
    <m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  <m/>
    <m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  <m/>
    <m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  <m/>
    <m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  <m/>
    <m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  <m/>
    <m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  <m/>
    <m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  <m/>
    <m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  <m/>
    <m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  <m/>
    <m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  <m/>
    <m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  <m/>
    <m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  <m/>
    <m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  <m/>
    <m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  <m/>
    <m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  <m/>
    <m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  <m/>
    <m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  <m/>
    <m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  <m/>
    <m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  <m/>
    <m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  <m/>
    <m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  <m/>
    <m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  <m/>
    <m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  <m/>
    <m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  <m/>
    <m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  <m/>
    <m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  <m/>
    <m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  <m/>
    <m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  <m/>
    <m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  <m/>
    <m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  <m/>
    <m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  <m/>
    <m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  <m/>
    <m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  <m/>
    <m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  <m/>
    <m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  <m/>
    <m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  <m/>
    <m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  <m/>
    <m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m/>
    <m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  <m/>
    <m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  <m/>
    <m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  <m/>
    <m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  <m/>
    <m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  <m/>
    <m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  <m/>
    <m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  <m/>
    <m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  <m/>
    <m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  <m/>
    <m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  <m/>
    <m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  <m/>
    <m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  <m/>
    <m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  <m/>
    <m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  <m/>
    <m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  <m/>
    <m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  <m/>
    <m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  <m/>
    <m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  <m/>
    <m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  <m/>
    <m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  <m/>
    <m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  <m/>
    <m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  <m/>
    <m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  <m/>
    <m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  <m/>
    <m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  <m/>
    <m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  <m/>
    <m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  <m/>
    <m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  <m/>
    <m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  <m/>
    <m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  <m/>
    <m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  <m/>
    <m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  <m/>
    <m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  <m/>
    <m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  <m/>
    <m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  <m/>
    <m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  <m/>
    <m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  <m/>
    <m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  <m/>
    <m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  <m/>
    <m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  <m/>
    <m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  <m/>
    <m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  <m/>
    <m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  <m/>
    <m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  <m/>
    <m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  <m/>
    <m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  <m/>
    <m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  <m/>
    <m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  <m/>
    <m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  <m/>
    <m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  <m/>
    <m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  <m/>
    <m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  <m/>
    <m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  <m/>
    <m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  <m/>
    <m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  <m/>
    <m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  <m/>
    <m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  <m/>
    <m/>
  </r>
  <r>
    <s v="USR-100154"/>
    <d v="2025-03-04T00:00:00"/>
    <x v="0"/>
    <x v="3"/>
    <x v="1"/>
    <x v="3"/>
    <x v="1"/>
    <n v="1"/>
    <n v="1"/>
    <n v="0"/>
    <n v="0"/>
    <n v="0"/>
    <n v="0"/>
    <n v="0"/>
    <m/>
    <m/>
    <m/>
    <m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  <m/>
    <m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  <m/>
    <m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  <m/>
    <m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  <m/>
    <m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  <m/>
    <m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  <m/>
    <m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  <m/>
    <m/>
  </r>
  <r>
    <s v="USR-100162"/>
    <d v="2025-02-01T00:00:00"/>
    <x v="0"/>
    <x v="0"/>
    <x v="1"/>
    <x v="1"/>
    <x v="1"/>
    <n v="0"/>
    <n v="0"/>
    <n v="0"/>
    <n v="0"/>
    <n v="0"/>
    <n v="0"/>
    <n v="0"/>
    <m/>
    <m/>
    <m/>
    <m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  <m/>
    <m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  <m/>
    <m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  <m/>
    <m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  <m/>
    <m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  <m/>
    <m/>
  </r>
  <r>
    <s v="USR-100168"/>
    <d v="2025-03-06T00:00:00"/>
    <x v="0"/>
    <x v="3"/>
    <x v="1"/>
    <x v="2"/>
    <x v="1"/>
    <n v="1"/>
    <n v="0"/>
    <n v="0"/>
    <n v="0"/>
    <n v="0"/>
    <n v="1"/>
    <n v="0"/>
    <m/>
    <m/>
    <m/>
    <m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  <m/>
    <m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  <m/>
    <m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  <m/>
    <m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  <m/>
    <m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  <m/>
    <m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  <m/>
    <m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  <m/>
    <m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  <m/>
    <m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  <m/>
    <m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  <m/>
    <m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  <m/>
    <m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  <m/>
    <m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  <m/>
    <m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  <m/>
    <m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  <m/>
    <m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  <m/>
    <m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  <m/>
    <m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  <m/>
    <m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  <m/>
    <m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  <m/>
    <m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  <m/>
    <m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  <m/>
    <m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  <m/>
    <m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  <m/>
    <m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  <m/>
    <m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  <m/>
    <m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  <m/>
    <m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  <m/>
    <m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  <m/>
    <m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  <m/>
    <m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  <m/>
    <m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  <m/>
    <m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  <m/>
    <m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  <m/>
    <m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  <m/>
    <m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  <m/>
    <m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  <m/>
    <m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  <m/>
    <m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  <m/>
    <m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  <m/>
    <m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  <m/>
    <m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  <m/>
    <m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  <m/>
    <m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  <m/>
    <m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  <m/>
    <m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  <m/>
    <m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  <m/>
    <m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  <m/>
    <m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  <m/>
    <m/>
  </r>
  <r>
    <s v="USR-100218"/>
    <d v="2025-02-25T00:00:00"/>
    <x v="0"/>
    <x v="0"/>
    <x v="2"/>
    <x v="4"/>
    <x v="1"/>
    <n v="1"/>
    <n v="0"/>
    <n v="0"/>
    <n v="0"/>
    <n v="0"/>
    <n v="0"/>
    <n v="0"/>
    <m/>
    <m/>
    <m/>
    <m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  <m/>
    <m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  <m/>
    <m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  <m/>
    <m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  <m/>
    <m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  <m/>
    <m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  <m/>
    <m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  <m/>
    <m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  <m/>
    <m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  <m/>
    <m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  <m/>
    <m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  <m/>
    <m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  <m/>
    <m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  <m/>
    <m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  <m/>
    <m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  <m/>
    <m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  <m/>
    <m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  <m/>
    <m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  <m/>
    <m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  <m/>
    <m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  <m/>
    <m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  <m/>
    <m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  <m/>
    <m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  <m/>
    <m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  <m/>
    <m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  <m/>
    <m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  <m/>
    <m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  <m/>
    <m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  <m/>
    <m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  <m/>
    <m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  <m/>
    <m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  <m/>
    <m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  <m/>
    <m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  <m/>
    <m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  <m/>
    <m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  <m/>
    <m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  <m/>
    <m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  <m/>
    <m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  <m/>
    <m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  <m/>
    <m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  <m/>
    <m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  <m/>
    <m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  <m/>
    <m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  <m/>
    <m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  <m/>
    <m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  <m/>
    <m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  <m/>
    <m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  <m/>
    <m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  <m/>
    <m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  <m/>
    <m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  <m/>
    <m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  <m/>
    <m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  <m/>
    <m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  <m/>
    <m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  <m/>
    <m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  <m/>
    <m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  <m/>
    <m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  <m/>
    <m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  <m/>
    <m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  <m/>
    <m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  <m/>
    <m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  <m/>
    <m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  <m/>
    <m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  <m/>
    <m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  <m/>
    <m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  <m/>
    <m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  <m/>
    <m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  <m/>
    <m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  <m/>
    <m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  <m/>
    <m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  <m/>
    <m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  <m/>
    <m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  <m/>
    <m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  <m/>
    <m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  <m/>
    <m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  <m/>
    <m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  <m/>
    <m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  <m/>
    <m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  <m/>
    <m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  <m/>
    <m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  <m/>
    <m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  <m/>
    <m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  <m/>
    <m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  <m/>
    <m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  <m/>
    <m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  <m/>
    <m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  <m/>
    <m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  <m/>
    <m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  <m/>
    <m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  <m/>
    <m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  <m/>
    <m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  <m/>
    <m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  <m/>
    <m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  <m/>
    <m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  <m/>
    <m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  <m/>
    <m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  <m/>
    <m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  <m/>
    <m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  <m/>
    <m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  <m/>
    <m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  <m/>
    <m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  <m/>
    <m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  <m/>
    <m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  <m/>
    <m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  <m/>
    <m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  <m/>
    <m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  <m/>
    <m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  <m/>
    <m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  <m/>
    <m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  <m/>
    <m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  <m/>
    <m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  <m/>
    <m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  <m/>
    <m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  <m/>
    <m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  <m/>
    <m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  <m/>
    <m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  <m/>
    <m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  <m/>
    <m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  <m/>
    <m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  <m/>
    <m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  <m/>
    <m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  <m/>
    <m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  <m/>
    <m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  <m/>
    <m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  <m/>
    <m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  <m/>
    <m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  <m/>
    <m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  <m/>
    <m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  <m/>
    <m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  <m/>
    <m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  <m/>
    <m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  <m/>
    <m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  <m/>
    <m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  <m/>
    <m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  <m/>
    <m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  <m/>
    <m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  <m/>
    <m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  <m/>
    <m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  <m/>
    <m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  <m/>
    <m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  <m/>
    <m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  <m/>
    <m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  <m/>
    <m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  <m/>
    <m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  <m/>
    <m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  <m/>
    <m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  <m/>
    <m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  <m/>
    <m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  <m/>
    <m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  <m/>
    <m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  <m/>
    <m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  <m/>
    <m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  <m/>
    <m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  <m/>
    <m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  <m/>
    <m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  <m/>
    <m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  <m/>
    <m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  <m/>
    <m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  <m/>
    <m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  <m/>
    <m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  <m/>
    <m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  <m/>
    <m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  <m/>
    <m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  <m/>
    <m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  <m/>
    <m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  <m/>
    <m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  <m/>
    <m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  <m/>
    <m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  <m/>
    <m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  <m/>
    <m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  <m/>
    <m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  <m/>
    <m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  <m/>
    <m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  <m/>
    <m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  <m/>
    <m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  <m/>
    <m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  <m/>
    <m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  <m/>
    <m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  <m/>
    <m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  <m/>
    <m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  <m/>
    <m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  <m/>
    <m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  <m/>
    <m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  <m/>
    <m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  <m/>
    <m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  <m/>
    <m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  <m/>
    <m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  <m/>
    <m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  <m/>
    <m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  <m/>
    <m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  <m/>
    <m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  <m/>
    <m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  <m/>
    <m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  <m/>
    <m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  <m/>
    <m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  <m/>
    <m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  <m/>
    <m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  <m/>
    <m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  <m/>
    <m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  <m/>
    <m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  <m/>
    <m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  <m/>
    <m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  <m/>
    <m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  <m/>
    <m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  <m/>
    <m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  <m/>
    <m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  <m/>
    <m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  <m/>
    <m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  <m/>
    <m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  <m/>
    <m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  <m/>
    <m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  <m/>
    <m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  <m/>
    <m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  <m/>
    <m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  <m/>
    <m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m/>
    <m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  <m/>
    <m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  <m/>
    <m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  <m/>
    <m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  <m/>
    <m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  <m/>
    <m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  <m/>
    <m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  <m/>
    <m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  <m/>
    <m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  <m/>
    <m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  <m/>
    <m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  <m/>
    <m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  <m/>
    <m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  <m/>
    <m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  <m/>
    <m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  <m/>
    <m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  <m/>
    <m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  <m/>
    <m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  <m/>
    <m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  <m/>
    <m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  <m/>
    <m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  <m/>
    <m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  <m/>
    <m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  <m/>
    <m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  <m/>
    <m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  <m/>
    <m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  <m/>
    <m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  <m/>
    <m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  <m/>
    <m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  <m/>
    <m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  <m/>
    <m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  <m/>
    <m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  <m/>
    <m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  <m/>
    <m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  <m/>
    <m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  <m/>
    <m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  <m/>
    <m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  <m/>
    <m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  <m/>
    <m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  <m/>
    <m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  <m/>
    <m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  <m/>
    <m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  <m/>
    <m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  <m/>
    <m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  <m/>
    <m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  <m/>
    <m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  <m/>
    <m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  <m/>
    <m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  <m/>
    <m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  <m/>
    <m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  <m/>
    <m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  <m/>
    <m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  <m/>
    <m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  <m/>
    <m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  <m/>
    <m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  <m/>
    <m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  <m/>
    <m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  <m/>
    <m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  <m/>
    <m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  <m/>
    <m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  <m/>
    <m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  <m/>
    <m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  <m/>
    <m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  <m/>
    <m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  <m/>
    <m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  <m/>
    <m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  <m/>
    <m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  <m/>
    <m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  <m/>
    <m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  <m/>
    <m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  <m/>
    <m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  <m/>
    <m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  <m/>
    <m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  <m/>
    <m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  <m/>
    <m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  <m/>
    <m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  <m/>
    <m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  <m/>
    <m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  <m/>
    <m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  <m/>
    <m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  <m/>
    <m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  <m/>
    <m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  <m/>
    <m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  <m/>
    <m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  <m/>
    <m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  <m/>
    <m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  <m/>
    <m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  <m/>
    <m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  <m/>
    <m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  <m/>
    <m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  <m/>
    <m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  <m/>
    <m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  <m/>
    <m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  <m/>
    <m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  <m/>
    <m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  <m/>
    <m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  <m/>
    <m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  <m/>
    <m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  <m/>
    <m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  <m/>
    <m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  <m/>
    <m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  <m/>
    <m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  <m/>
    <m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  <m/>
    <m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  <m/>
    <m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  <m/>
    <m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  <m/>
    <m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  <m/>
    <m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m/>
    <m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  <m/>
    <m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  <m/>
    <m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  <m/>
    <m/>
  </r>
  <r>
    <s v="USR-100545"/>
    <d v="2025-01-01T00:00:00"/>
    <x v="0"/>
    <x v="3"/>
    <x v="0"/>
    <x v="4"/>
    <x v="0"/>
    <n v="0"/>
    <n v="0"/>
    <n v="0"/>
    <n v="0"/>
    <n v="0"/>
    <n v="0"/>
    <n v="0"/>
    <m/>
    <m/>
    <m/>
    <m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  <m/>
    <m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  <m/>
    <m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  <m/>
    <m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  <m/>
    <m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  <m/>
    <m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  <m/>
    <m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  <m/>
    <m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  <m/>
    <m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  <m/>
    <m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  <m/>
    <m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  <m/>
    <m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  <m/>
    <m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  <m/>
    <m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  <m/>
    <m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  <m/>
    <m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  <m/>
    <m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  <m/>
    <m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  <m/>
    <m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  <m/>
    <m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  <m/>
    <m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  <m/>
    <m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  <m/>
    <m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  <m/>
    <m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  <m/>
    <m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  <m/>
    <m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  <m/>
    <m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  <m/>
    <m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  <m/>
    <m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  <m/>
    <m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  <m/>
    <m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  <m/>
    <m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  <m/>
    <m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  <m/>
    <m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  <m/>
    <m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  <m/>
    <m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  <m/>
    <m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  <m/>
    <m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  <m/>
    <m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  <m/>
    <m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  <m/>
    <m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  <m/>
    <m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  <m/>
    <m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  <m/>
    <m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  <m/>
    <m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  <m/>
    <m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  <m/>
    <m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  <m/>
    <m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  <m/>
    <m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  <m/>
    <m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  <m/>
    <m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  <m/>
    <m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  <m/>
    <m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  <m/>
    <m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  <m/>
    <m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  <m/>
    <m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  <m/>
    <m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  <m/>
    <m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  <m/>
    <m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  <m/>
    <m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  <m/>
    <m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  <m/>
    <m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  <m/>
    <m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  <m/>
    <m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  <m/>
    <m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  <m/>
    <m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  <m/>
    <m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  <m/>
    <m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  <m/>
    <m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  <m/>
    <m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  <m/>
    <m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  <m/>
    <m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  <m/>
    <m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  <m/>
    <m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  <m/>
    <m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  <m/>
    <m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  <m/>
    <m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  <m/>
    <m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  <m/>
    <m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  <m/>
    <m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  <m/>
    <m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  <m/>
    <m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  <m/>
    <m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  <m/>
    <m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  <m/>
    <m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  <m/>
    <m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  <m/>
    <m/>
  </r>
  <r>
    <s v="USR-100632"/>
    <d v="2025-03-16T00:00:00"/>
    <x v="0"/>
    <x v="0"/>
    <x v="1"/>
    <x v="4"/>
    <x v="1"/>
    <n v="1"/>
    <n v="0"/>
    <n v="0"/>
    <n v="0"/>
    <n v="0"/>
    <n v="0"/>
    <n v="0"/>
    <m/>
    <m/>
    <m/>
    <m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  <m/>
    <m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  <m/>
    <m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  <m/>
    <m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  <m/>
    <m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  <m/>
    <m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  <m/>
    <m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  <m/>
    <m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  <m/>
    <m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  <m/>
    <m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  <m/>
    <m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  <m/>
    <m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  <m/>
    <m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  <m/>
    <m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  <m/>
    <m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  <m/>
    <m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  <m/>
    <m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  <m/>
    <m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  <m/>
    <m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  <m/>
    <m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  <m/>
    <m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  <m/>
    <m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  <m/>
    <m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  <m/>
    <m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  <m/>
    <m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  <m/>
    <m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  <m/>
    <m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  <m/>
    <m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  <m/>
    <m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  <m/>
    <m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  <m/>
    <m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  <m/>
    <m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  <m/>
    <m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  <m/>
    <m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  <m/>
    <m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  <m/>
    <m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  <m/>
    <m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  <m/>
    <m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  <m/>
    <m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  <m/>
    <m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  <m/>
    <m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  <m/>
    <m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  <m/>
    <m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  <m/>
    <m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  <m/>
    <m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  <m/>
    <m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  <m/>
    <m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  <m/>
    <m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  <m/>
    <m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  <m/>
    <m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  <m/>
    <m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  <m/>
    <m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  <m/>
    <m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  <m/>
    <m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  <m/>
    <m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  <m/>
    <m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  <m/>
    <m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  <m/>
    <m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  <m/>
    <m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  <m/>
    <m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  <m/>
    <m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  <m/>
    <m/>
  </r>
  <r>
    <s v="USR-100694"/>
    <d v="2025-03-27T00:00:00"/>
    <x v="1"/>
    <x v="0"/>
    <x v="0"/>
    <x v="4"/>
    <x v="1"/>
    <n v="1"/>
    <n v="0"/>
    <n v="0"/>
    <n v="0"/>
    <n v="0"/>
    <n v="0"/>
    <n v="0"/>
    <m/>
    <m/>
    <m/>
    <m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  <m/>
    <m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  <m/>
    <m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  <m/>
    <m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  <m/>
    <m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  <m/>
    <m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  <m/>
    <m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  <m/>
    <m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  <m/>
    <m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  <m/>
    <m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  <m/>
    <m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  <m/>
    <m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  <m/>
    <m/>
  </r>
  <r>
    <s v="USR-100707"/>
    <d v="2025-01-29T00:00:00"/>
    <x v="1"/>
    <x v="0"/>
    <x v="0"/>
    <x v="1"/>
    <x v="0"/>
    <n v="1"/>
    <n v="0"/>
    <n v="0"/>
    <n v="0"/>
    <n v="0"/>
    <n v="0"/>
    <n v="0"/>
    <m/>
    <m/>
    <m/>
    <m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  <m/>
    <m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  <m/>
    <m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  <m/>
    <m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  <m/>
    <m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  <m/>
    <m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  <m/>
    <m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  <m/>
    <m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  <m/>
    <m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  <m/>
    <m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  <m/>
    <m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  <m/>
    <m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  <m/>
    <m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  <m/>
    <m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  <m/>
    <m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  <m/>
    <m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  <m/>
    <m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  <m/>
    <m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  <m/>
    <m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  <m/>
    <m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  <m/>
    <m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  <m/>
    <m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  <m/>
    <m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  <m/>
    <m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  <m/>
    <m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  <m/>
    <m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  <m/>
    <m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  <m/>
    <m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  <m/>
    <m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  <m/>
    <m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  <m/>
    <m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  <m/>
    <m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  <m/>
    <m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  <m/>
    <m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  <m/>
    <m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  <m/>
    <m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  <m/>
    <m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  <m/>
    <m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  <m/>
    <m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  <m/>
    <m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  <m/>
    <m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  <m/>
    <m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  <m/>
    <m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  <m/>
    <m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  <m/>
    <m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  <m/>
    <m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  <m/>
    <m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  <m/>
    <m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  <m/>
    <m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  <m/>
    <m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  <m/>
    <m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  <m/>
    <m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  <m/>
    <m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  <m/>
    <m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  <m/>
    <m/>
  </r>
  <r>
    <s v="USR-100762"/>
    <d v="2025-03-26T00:00:00"/>
    <x v="1"/>
    <x v="3"/>
    <x v="1"/>
    <x v="2"/>
    <x v="1"/>
    <n v="0"/>
    <n v="0"/>
    <n v="0"/>
    <n v="0"/>
    <n v="0"/>
    <n v="0"/>
    <n v="0"/>
    <m/>
    <m/>
    <m/>
    <m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  <m/>
    <m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  <m/>
    <m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  <m/>
    <m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  <m/>
    <m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  <m/>
    <m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  <m/>
    <m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  <m/>
    <m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  <m/>
    <m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  <m/>
    <m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  <m/>
    <m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  <m/>
    <m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  <m/>
    <m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  <m/>
    <m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  <m/>
    <m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  <m/>
    <m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  <m/>
    <m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  <m/>
    <m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  <m/>
    <m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  <m/>
    <m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  <m/>
    <m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  <m/>
    <m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  <m/>
    <m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  <m/>
    <m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  <m/>
    <m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  <m/>
    <m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  <m/>
    <m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  <m/>
    <m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  <m/>
    <m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  <m/>
    <m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  <m/>
    <m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  <m/>
    <m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  <m/>
    <m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  <m/>
    <m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  <m/>
    <m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  <m/>
    <m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  <m/>
    <m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  <m/>
    <m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  <m/>
    <m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  <m/>
    <m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  <m/>
    <m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  <m/>
    <m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  <m/>
    <m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  <m/>
    <m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  <m/>
    <m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  <m/>
    <m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  <m/>
    <m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  <m/>
    <m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  <m/>
    <m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  <m/>
    <m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  <m/>
    <m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  <m/>
    <m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  <m/>
    <m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  <m/>
    <m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  <m/>
    <m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  <m/>
    <m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  <m/>
    <m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  <m/>
    <m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  <m/>
    <m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  <m/>
    <m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  <m/>
    <m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  <m/>
    <m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  <m/>
    <m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  <m/>
    <m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  <m/>
    <m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  <m/>
    <m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  <m/>
    <m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  <m/>
    <m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  <m/>
    <m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  <m/>
    <m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  <m/>
    <m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  <m/>
    <m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  <m/>
    <m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  <m/>
    <m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  <m/>
    <m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  <m/>
    <m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  <m/>
    <m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  <m/>
    <m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  <m/>
    <m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  <m/>
    <m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  <m/>
    <m/>
  </r>
  <r>
    <s v="USR-100843"/>
    <d v="2025-02-08T00:00:00"/>
    <x v="1"/>
    <x v="3"/>
    <x v="1"/>
    <x v="1"/>
    <x v="2"/>
    <n v="1"/>
    <n v="0"/>
    <n v="0"/>
    <n v="0"/>
    <n v="0"/>
    <n v="0"/>
    <n v="0"/>
    <m/>
    <m/>
    <m/>
    <m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  <m/>
    <m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  <m/>
    <m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  <m/>
    <m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  <m/>
    <m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  <m/>
    <m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  <m/>
    <m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  <m/>
    <m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  <m/>
    <m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  <m/>
    <m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  <m/>
    <m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  <m/>
    <m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  <m/>
    <m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  <m/>
    <m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  <m/>
    <m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  <m/>
    <m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  <m/>
    <m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  <m/>
    <m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  <m/>
    <m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  <m/>
    <m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  <m/>
    <m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  <m/>
    <m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  <m/>
    <m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  <m/>
    <m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  <m/>
    <m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  <m/>
    <m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  <m/>
    <m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  <m/>
    <m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  <m/>
    <m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  <m/>
    <m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  <m/>
    <m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  <m/>
    <m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  <m/>
    <m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  <m/>
    <m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  <m/>
    <m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  <m/>
    <m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  <m/>
    <m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  <m/>
    <m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  <m/>
    <m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  <m/>
    <m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  <m/>
    <m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  <m/>
    <m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  <m/>
    <m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  <m/>
    <m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  <m/>
    <m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  <m/>
    <m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  <m/>
    <m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  <m/>
    <m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  <m/>
    <m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  <m/>
    <m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  <m/>
    <m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  <m/>
    <m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  <m/>
    <m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  <m/>
    <m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  <m/>
    <m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  <m/>
    <m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  <m/>
    <m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  <m/>
    <m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  <m/>
    <m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  <m/>
    <m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  <m/>
    <m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  <m/>
    <m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  <m/>
    <m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  <m/>
    <m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  <m/>
    <m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  <m/>
    <m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  <m/>
    <m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  <m/>
    <m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  <m/>
    <m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  <m/>
    <m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  <m/>
    <m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  <m/>
    <m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  <m/>
    <m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  <m/>
    <m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m/>
    <m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  <m/>
    <m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  <m/>
    <m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  <m/>
    <m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  <m/>
    <m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  <m/>
    <m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  <m/>
    <m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  <m/>
    <m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  <m/>
    <m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  <m/>
    <m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  <m/>
    <m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  <m/>
    <m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  <m/>
    <m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  <m/>
    <m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  <m/>
    <m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  <m/>
    <m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  <m/>
    <m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  <m/>
    <m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  <m/>
    <m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  <m/>
    <m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  <m/>
    <m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  <m/>
    <m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  <m/>
    <m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  <m/>
    <m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  <m/>
    <m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  <m/>
    <m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  <m/>
    <m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  <m/>
    <m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  <m/>
    <m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  <m/>
    <m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  <m/>
    <m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  <m/>
    <m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  <m/>
    <m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  <m/>
    <m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  <m/>
    <m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  <m/>
    <m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  <m/>
    <m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  <m/>
    <m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  <m/>
    <m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  <m/>
    <m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  <m/>
    <m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  <m/>
    <m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  <m/>
    <m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  <m/>
    <m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  <m/>
    <m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  <m/>
    <m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  <m/>
    <m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  <m/>
    <m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  <m/>
    <m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  <m/>
    <m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  <m/>
    <m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  <m/>
    <m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  <m/>
    <m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  <m/>
    <m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  <m/>
    <m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  <m/>
    <m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  <m/>
    <m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  <m/>
    <m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  <m/>
    <m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  <m/>
    <m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  <m/>
    <m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  <m/>
    <m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  <m/>
    <m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  <m/>
    <m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  <m/>
    <m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  <m/>
    <m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  <m/>
    <m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  <m/>
    <m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  <m/>
    <m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  <m/>
    <m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  <m/>
    <m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  <m/>
    <m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  <m/>
    <m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  <m/>
    <m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  <m/>
    <m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  <m/>
    <m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  <m/>
    <m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  <m/>
    <m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  <m/>
    <m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  <m/>
    <m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  <m/>
    <m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  <m/>
    <m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  <m/>
    <m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  <m/>
    <m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  <m/>
    <m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  <m/>
    <m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  <m/>
    <m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  <m/>
    <m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  <m/>
    <m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  <m/>
    <m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  <m/>
    <m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  <m/>
    <m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  <m/>
    <m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  <m/>
    <m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  <m/>
    <m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  <m/>
    <m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  <m/>
    <m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  <m/>
    <m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  <m/>
    <m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  <m/>
    <m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  <m/>
    <m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  <m/>
    <m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  <m/>
    <m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  <m/>
    <m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  <m/>
    <m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  <m/>
    <m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  <m/>
    <m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  <m/>
    <m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  <m/>
    <m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  <m/>
    <m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  <m/>
    <m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  <m/>
    <m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  <m/>
    <m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  <m/>
    <m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  <m/>
    <m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  <m/>
    <m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  <m/>
    <m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  <m/>
    <m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  <m/>
    <m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  <m/>
    <m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  <m/>
    <m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  <m/>
    <m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  <m/>
    <m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  <m/>
    <m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  <m/>
    <m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  <m/>
    <m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  <m/>
    <m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  <m/>
    <m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  <m/>
    <m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  <m/>
    <m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  <m/>
    <m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  <m/>
    <m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  <m/>
    <m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  <m/>
    <m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  <m/>
    <m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  <m/>
    <m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  <m/>
    <m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  <m/>
    <m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  <m/>
    <m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  <m/>
    <m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  <m/>
    <m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  <m/>
    <m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m/>
    <m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  <m/>
    <m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  <m/>
    <m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  <m/>
    <m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  <m/>
    <m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  <m/>
    <m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  <m/>
    <m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  <m/>
    <m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  <m/>
    <m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  <m/>
    <m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  <m/>
    <m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  <m/>
    <m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  <m/>
    <m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  <m/>
    <m/>
  </r>
  <r>
    <s v="USR-101073"/>
    <d v="2025-05-22T00:00:00"/>
    <x v="1"/>
    <x v="2"/>
    <x v="1"/>
    <x v="3"/>
    <x v="1"/>
    <n v="1"/>
    <n v="0"/>
    <n v="0"/>
    <n v="0"/>
    <n v="0"/>
    <n v="1"/>
    <n v="0"/>
    <m/>
    <m/>
    <m/>
    <m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  <m/>
    <m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  <m/>
    <m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  <m/>
    <m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  <m/>
    <m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  <m/>
    <m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  <m/>
    <m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  <m/>
    <m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  <m/>
    <m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  <m/>
    <m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  <m/>
    <m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  <m/>
    <m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  <m/>
    <m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  <m/>
    <m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  <m/>
    <m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  <m/>
    <m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  <m/>
    <m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  <m/>
    <m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  <m/>
    <m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  <m/>
    <m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  <m/>
    <m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  <m/>
    <m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  <m/>
    <m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  <m/>
    <m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  <m/>
    <m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  <m/>
    <m/>
  </r>
  <r>
    <s v="USR-101099"/>
    <d v="2025-04-19T00:00:00"/>
    <x v="1"/>
    <x v="0"/>
    <x v="1"/>
    <x v="2"/>
    <x v="0"/>
    <n v="1"/>
    <n v="0"/>
    <n v="0"/>
    <n v="0"/>
    <n v="0"/>
    <n v="0"/>
    <n v="0"/>
    <m/>
    <m/>
    <m/>
    <m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  <m/>
    <m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  <m/>
    <m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  <m/>
    <m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  <m/>
    <m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  <m/>
    <m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  <m/>
    <m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  <m/>
    <m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  <m/>
    <m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  <m/>
    <m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  <m/>
    <m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  <m/>
    <m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  <m/>
    <m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  <m/>
    <m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  <m/>
    <m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  <m/>
    <m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  <m/>
    <m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  <m/>
    <m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  <m/>
    <m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  <m/>
    <m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  <m/>
    <m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  <m/>
    <m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  <m/>
    <m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  <m/>
    <m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  <m/>
    <m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  <m/>
    <m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  <m/>
    <m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  <m/>
    <m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  <m/>
    <m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  <m/>
    <m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  <m/>
    <m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  <m/>
    <m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  <m/>
    <m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  <m/>
    <m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  <m/>
    <m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  <m/>
    <m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  <m/>
    <m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  <m/>
    <m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  <m/>
    <m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  <m/>
    <m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  <m/>
    <m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  <m/>
    <m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  <m/>
    <m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  <m/>
    <m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  <m/>
    <m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  <m/>
    <m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  <m/>
    <m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  <m/>
    <m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  <m/>
    <m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  <m/>
    <m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  <m/>
    <m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  <m/>
    <m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  <m/>
    <m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  <m/>
    <m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  <m/>
    <m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  <m/>
    <m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  <m/>
    <m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  <m/>
    <m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  <m/>
    <m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  <m/>
    <m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  <m/>
    <m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  <m/>
    <m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  <m/>
    <m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  <m/>
    <m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  <m/>
    <m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  <m/>
    <m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  <m/>
    <m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  <m/>
    <m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  <m/>
    <m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  <m/>
    <m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  <m/>
    <m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  <m/>
    <m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  <m/>
    <m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  <m/>
    <m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  <m/>
    <m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  <m/>
    <m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  <m/>
    <m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  <m/>
    <m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  <m/>
    <m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  <m/>
    <m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  <m/>
    <m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  <m/>
    <m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  <m/>
    <m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  <m/>
    <m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  <m/>
    <m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  <m/>
    <m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  <m/>
    <m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  <m/>
    <m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  <m/>
    <m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  <m/>
    <m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  <m/>
    <m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  <m/>
    <m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  <m/>
    <m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  <m/>
    <m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  <m/>
    <m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  <m/>
    <m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  <m/>
    <m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  <m/>
    <m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  <m/>
    <m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  <m/>
    <m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  <m/>
    <m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  <m/>
    <m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  <m/>
    <m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  <m/>
    <m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  <m/>
    <m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  <m/>
    <m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  <m/>
    <m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  <m/>
    <m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  <m/>
    <m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  <m/>
    <m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  <m/>
    <m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m/>
    <m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  <m/>
    <m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  <m/>
    <m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  <m/>
    <m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  <m/>
    <m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  <m/>
    <m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  <m/>
    <m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  <m/>
    <m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  <m/>
    <m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  <m/>
    <m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  <m/>
    <m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  <m/>
    <m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  <m/>
    <m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  <m/>
    <m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  <m/>
    <m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  <m/>
    <m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  <m/>
    <m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  <m/>
    <m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  <m/>
    <m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  <m/>
    <m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  <m/>
    <m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  <m/>
    <m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m/>
    <m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  <m/>
    <m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  <m/>
    <m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  <m/>
    <m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  <m/>
    <m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  <m/>
    <m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  <m/>
    <m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  <m/>
    <m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  <m/>
    <m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  <m/>
    <m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  <m/>
    <m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  <m/>
    <m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  <m/>
    <m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  <m/>
    <m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  <m/>
    <m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  <m/>
    <m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  <m/>
    <m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  <m/>
    <m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  <m/>
    <m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  <m/>
    <m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  <m/>
    <m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  <m/>
    <m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  <m/>
    <m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  <m/>
    <m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  <m/>
    <m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  <m/>
    <m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  <m/>
    <m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  <m/>
    <m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  <m/>
    <m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  <m/>
    <m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  <m/>
    <m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  <m/>
    <m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  <m/>
    <m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  <m/>
    <m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  <m/>
    <m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  <m/>
    <m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  <m/>
    <m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  <m/>
    <m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  <m/>
    <m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  <m/>
    <m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  <m/>
    <m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  <m/>
    <m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  <m/>
    <m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  <m/>
    <m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  <m/>
    <m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  <m/>
    <m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  <m/>
    <m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  <m/>
    <m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  <m/>
    <m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  <m/>
    <m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  <m/>
    <m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  <m/>
    <m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  <m/>
    <m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  <m/>
    <m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  <m/>
    <m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  <m/>
    <m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  <m/>
    <m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  <m/>
    <m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  <m/>
    <m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  <m/>
    <m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  <m/>
    <m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  <m/>
    <m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  <m/>
    <m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  <m/>
    <m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  <m/>
    <m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  <m/>
    <m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  <m/>
    <m/>
  </r>
  <r>
    <s v="USR-101299"/>
    <d v="2025-05-17T00:00:00"/>
    <x v="1"/>
    <x v="1"/>
    <x v="1"/>
    <x v="1"/>
    <x v="1"/>
    <n v="0"/>
    <n v="0"/>
    <n v="0"/>
    <n v="0"/>
    <n v="0"/>
    <n v="3"/>
    <n v="0"/>
    <m/>
    <m/>
    <m/>
    <m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  <m/>
    <m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  <m/>
    <m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  <m/>
    <m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  <m/>
    <m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  <m/>
    <m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  <m/>
    <m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  <m/>
    <m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  <m/>
    <m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  <m/>
    <m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  <m/>
    <m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  <m/>
    <m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  <m/>
    <m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  <m/>
    <m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  <m/>
    <m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  <m/>
    <m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  <m/>
    <m/>
  </r>
  <r>
    <s v="USR-101316"/>
    <d v="2025-02-19T00:00:00"/>
    <x v="1"/>
    <x v="0"/>
    <x v="1"/>
    <x v="1"/>
    <x v="2"/>
    <n v="0"/>
    <n v="0"/>
    <n v="0"/>
    <n v="0"/>
    <n v="0"/>
    <n v="0"/>
    <n v="0"/>
    <m/>
    <m/>
    <m/>
    <m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  <m/>
    <m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  <m/>
    <m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  <m/>
    <m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  <m/>
    <m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  <m/>
    <m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  <m/>
    <m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  <m/>
    <m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  <m/>
    <m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  <m/>
    <m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  <m/>
    <m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  <m/>
    <m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  <m/>
    <m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  <m/>
    <m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  <m/>
    <m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  <m/>
    <m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  <m/>
    <m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  <m/>
    <m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  <m/>
    <m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  <m/>
    <m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  <m/>
    <m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  <m/>
    <m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  <m/>
    <m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  <m/>
    <m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  <m/>
    <m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  <m/>
    <m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  <m/>
    <m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  <m/>
    <m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  <m/>
    <m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  <m/>
    <m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  <m/>
    <m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  <m/>
    <m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  <m/>
    <m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  <m/>
    <m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  <m/>
    <m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  <m/>
    <m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  <m/>
    <m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  <m/>
    <m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  <m/>
    <m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  <m/>
    <m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  <m/>
    <m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  <m/>
    <m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  <m/>
    <m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  <m/>
    <m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  <m/>
    <m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  <m/>
    <m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m/>
    <m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  <m/>
    <m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  <m/>
    <m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  <m/>
    <m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  <m/>
    <m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  <m/>
    <m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  <m/>
    <m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  <m/>
    <m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  <m/>
    <m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  <m/>
    <m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  <m/>
    <m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  <m/>
    <m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  <m/>
    <m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  <m/>
    <m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  <m/>
    <m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  <m/>
    <m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  <m/>
    <m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  <m/>
    <m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  <m/>
    <m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  <m/>
    <m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  <m/>
    <m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  <m/>
    <m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  <m/>
    <m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  <m/>
    <m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  <m/>
    <m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  <m/>
    <m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  <m/>
    <m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  <m/>
    <m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  <m/>
    <m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  <m/>
    <m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  <m/>
    <m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  <m/>
    <m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  <m/>
    <m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  <m/>
    <m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  <m/>
    <m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  <m/>
    <m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  <m/>
    <m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  <m/>
    <m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9778A-D3A2-4DC0-8008-C2B677A28ADB}" name="PivotTable4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I21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/>
  </dataFields>
  <formats count="2">
    <format dxfId="1">
      <pivotArea collapsedLevelsAreSubtotals="1" fieldPosition="0">
        <references count="1">
          <reference field="4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B52EC-55C4-4986-9FFE-CE6537CA08FF}" name="PivotTable3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O12" firstHeaderRow="1" firstDataRow="2" firstDataCol="1"/>
  <pivotFields count="17"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has_support_ticket" fld="13" subtotal="average" baseField="3" baseItem="0" numFmtId="1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C571B-CDB0-448E-B70A-31A82AFDF313}" name="PivotTable3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7:T35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isited_landing_page" fld="7" subtotal="average" baseField="5" baseItem="0" numFmtId="1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86573-0927-44FA-AA57-5818FE17F1C8}" name="PivotTable4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5:I33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 numFmtId="1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09CDD-631D-4947-ADE7-B5CBCE9141C4}" name="PivotTable3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7:T23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isited_landing_page" fld="7" subtotal="average" baseField="4" baseItem="0" numFmtId="1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A75A9-9FE1-495A-B758-B4C1F7E0C37E}" name="PivotTable3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8:O44" firstHeaderRow="1" firstDataRow="2" firstDataCol="1"/>
  <pivotFields count="17"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has_support_ticket" fld="13" subtotal="average" baseField="6" baseItem="0" numFmtId="1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BE396-DFA7-4822-AF91-E3177E931BEA}" name="PivotTable4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7:I42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6" baseItem="0" numFmtId="1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80FA5-343F-49FF-B892-381F334CDA10}" name="PivotTable3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5:O34" firstHeaderRow="1" firstDataRow="2" firstDataCol="1"/>
  <pivotFields count="17"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has_support_ticket" fld="13" subtotal="average" baseField="5" baseItem="0" numFmtId="1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F0CA6-68B1-4085-AB5A-609815DF7246}" name="PivotTable4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T11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isited_landing_page" fld="7" subtotal="average" baseField="3" baseItem="1" numFmtId="1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0C289-C413-4A42-A546-5739B1F08712}" name="PivotTable3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5:O22" firstHeaderRow="1" firstDataRow="2" firstDataCol="1"/>
  <pivotFields count="17"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has_support_ticket" fld="13" subtotal="average" baseField="4" baseItem="0" numFmtId="1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39DAE-D69B-46A3-869A-16677F5F1CC2}" name="PivotTable3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9:T44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isited_landing_page" fld="7" subtotal="average" baseField="6" baseItem="0" numFmtId="1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B09C1-B009-494D-8185-F3B242D492D3}" name="PivotTable4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I11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 numFmtId="1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57B9-E5B9-4C9B-BDEA-66A0B90B718E}">
  <dimension ref="A1:T44"/>
  <sheetViews>
    <sheetView tabSelected="1" workbookViewId="0">
      <selection activeCell="C7" sqref="C7"/>
    </sheetView>
  </sheetViews>
  <sheetFormatPr defaultRowHeight="14.4" x14ac:dyDescent="0.3"/>
  <cols>
    <col min="1" max="1" width="32.21875" bestFit="1" customWidth="1"/>
    <col min="2" max="3" width="12.44140625" bestFit="1" customWidth="1"/>
    <col min="4" max="4" width="12" bestFit="1" customWidth="1"/>
    <col min="5" max="5" width="7" bestFit="1" customWidth="1"/>
    <col min="6" max="6" width="28.77734375" bestFit="1" customWidth="1"/>
    <col min="7" max="7" width="13.88671875" bestFit="1" customWidth="1"/>
    <col min="8" max="8" width="10.33203125" bestFit="1" customWidth="1"/>
    <col min="9" max="9" width="11.44140625" bestFit="1" customWidth="1"/>
    <col min="11" max="11" width="28.88671875" bestFit="1" customWidth="1"/>
    <col min="12" max="12" width="16.44140625" bestFit="1" customWidth="1"/>
    <col min="13" max="13" width="10.33203125" bestFit="1" customWidth="1"/>
    <col min="14" max="14" width="7.21875" bestFit="1" customWidth="1"/>
    <col min="15" max="15" width="11.44140625" bestFit="1" customWidth="1"/>
    <col min="17" max="17" width="30.5546875" bestFit="1" customWidth="1"/>
    <col min="18" max="18" width="13.88671875" bestFit="1" customWidth="1"/>
    <col min="19" max="19" width="10.33203125" bestFit="1" customWidth="1"/>
    <col min="20" max="20" width="11.44140625" bestFit="1" customWidth="1"/>
  </cols>
  <sheetData>
    <row r="1" spans="1:20" x14ac:dyDescent="0.3">
      <c r="F1" s="8" t="s">
        <v>0</v>
      </c>
      <c r="G1" s="8"/>
      <c r="H1" s="8"/>
    </row>
    <row r="2" spans="1:20" x14ac:dyDescent="0.3">
      <c r="F2" s="8"/>
      <c r="G2" s="8"/>
      <c r="H2" s="8"/>
    </row>
    <row r="3" spans="1:20" x14ac:dyDescent="0.3">
      <c r="A3" s="9" t="s">
        <v>1</v>
      </c>
      <c r="B3" s="9"/>
      <c r="C3" s="9"/>
    </row>
    <row r="4" spans="1:20" ht="15.6" x14ac:dyDescent="0.3">
      <c r="A4" s="9"/>
      <c r="B4" s="9"/>
      <c r="C4" s="9"/>
      <c r="F4" s="7" t="s">
        <v>2</v>
      </c>
      <c r="G4" s="7"/>
      <c r="H4" s="7"/>
      <c r="I4" s="7"/>
      <c r="K4" s="7" t="s">
        <v>3</v>
      </c>
      <c r="L4" s="7"/>
      <c r="M4" s="7"/>
      <c r="N4" s="7"/>
      <c r="O4" s="7"/>
      <c r="Q4" s="7" t="s">
        <v>4</v>
      </c>
      <c r="R4" s="7"/>
      <c r="S4" s="7"/>
      <c r="T4" s="7"/>
    </row>
    <row r="5" spans="1:20" x14ac:dyDescent="0.3">
      <c r="A5" s="1" t="s">
        <v>5</v>
      </c>
      <c r="B5" s="2" t="s">
        <v>6</v>
      </c>
      <c r="C5" s="2" t="s">
        <v>7</v>
      </c>
      <c r="F5" s="6" t="s">
        <v>8</v>
      </c>
      <c r="G5" s="6" t="s">
        <v>9</v>
      </c>
      <c r="K5" s="6" t="s">
        <v>10</v>
      </c>
      <c r="L5" s="6" t="s">
        <v>9</v>
      </c>
      <c r="Q5" s="6" t="s">
        <v>11</v>
      </c>
      <c r="R5" s="6" t="s">
        <v>9</v>
      </c>
    </row>
    <row r="6" spans="1:20" ht="15" x14ac:dyDescent="0.35">
      <c r="A6" s="3" t="s">
        <v>12</v>
      </c>
      <c r="B6">
        <v>690</v>
      </c>
      <c r="C6">
        <v>710</v>
      </c>
      <c r="F6" s="6" t="s">
        <v>13</v>
      </c>
      <c r="G6" t="s">
        <v>14</v>
      </c>
      <c r="H6" t="s">
        <v>15</v>
      </c>
      <c r="I6" t="s">
        <v>16</v>
      </c>
      <c r="K6" s="6" t="s">
        <v>13</v>
      </c>
      <c r="L6" t="s">
        <v>14</v>
      </c>
      <c r="M6" t="s">
        <v>15</v>
      </c>
      <c r="N6" t="s">
        <v>17</v>
      </c>
      <c r="O6" t="s">
        <v>16</v>
      </c>
      <c r="Q6" s="6" t="s">
        <v>13</v>
      </c>
      <c r="R6" t="s">
        <v>14</v>
      </c>
      <c r="S6" t="s">
        <v>15</v>
      </c>
      <c r="T6" t="s">
        <v>16</v>
      </c>
    </row>
    <row r="7" spans="1:20" ht="15" x14ac:dyDescent="0.35">
      <c r="A7" s="3" t="s">
        <v>18</v>
      </c>
      <c r="B7" s="4">
        <f>AVERAGEIF([1]Sheet1!$C$2:$C$1401,"Control",[1]Sheet1!$H$2:$H$1401)</f>
        <v>0.63623188405797104</v>
      </c>
      <c r="C7" s="4">
        <f>AVERAGEIF([1]Sheet1!$C$2:$C$1401,"Treatment",[1]Sheet1!$H$2:$H$1401)</f>
        <v>0.72394366197183102</v>
      </c>
      <c r="F7" s="5" t="s">
        <v>19</v>
      </c>
      <c r="G7" s="4">
        <v>2.5477707006369428E-2</v>
      </c>
      <c r="H7" s="4">
        <v>6.4705882352941183E-2</v>
      </c>
      <c r="I7" s="4">
        <v>4.5871559633027525E-2</v>
      </c>
      <c r="K7" s="5" t="s">
        <v>19</v>
      </c>
      <c r="L7" s="4">
        <v>0.14012738853503184</v>
      </c>
      <c r="M7" s="4">
        <v>0.26470588235294118</v>
      </c>
      <c r="N7" s="4"/>
      <c r="O7" s="4">
        <v>0.20489296636085627</v>
      </c>
      <c r="Q7" s="5" t="s">
        <v>19</v>
      </c>
      <c r="R7" s="4">
        <v>0.66242038216560506</v>
      </c>
      <c r="S7" s="4">
        <v>0.74705882352941178</v>
      </c>
      <c r="T7" s="4">
        <v>0.70642201834862384</v>
      </c>
    </row>
    <row r="8" spans="1:20" ht="15" x14ac:dyDescent="0.35">
      <c r="A8" s="3" t="s">
        <v>20</v>
      </c>
      <c r="B8" s="4">
        <f>AVERAGEIF([1]Sheet1!$C$2:$C$1401,"Control",[1]Sheet1!$I$2:$I$1401)</f>
        <v>0.25072463768115943</v>
      </c>
      <c r="C8" s="4">
        <f>AVERAGEIF([1]Sheet1!$C$2:$C$1401,"Treatment",[1]Sheet1!$I$2:$I$1401)</f>
        <v>0.29014084507042254</v>
      </c>
      <c r="F8" s="5" t="s">
        <v>21</v>
      </c>
      <c r="G8" s="4">
        <v>3.482587064676617E-2</v>
      </c>
      <c r="H8" s="4">
        <v>8.8888888888888892E-2</v>
      </c>
      <c r="I8" s="4">
        <v>6.0367454068241469E-2</v>
      </c>
      <c r="K8" s="5" t="s">
        <v>21</v>
      </c>
      <c r="L8" s="4">
        <v>0.15422885572139303</v>
      </c>
      <c r="M8" s="4">
        <v>0.22777777777777777</v>
      </c>
      <c r="N8" s="4"/>
      <c r="O8" s="4">
        <v>0.1889763779527559</v>
      </c>
      <c r="Q8" s="5" t="s">
        <v>21</v>
      </c>
      <c r="R8" s="4">
        <v>0.61194029850746268</v>
      </c>
      <c r="S8" s="4">
        <v>0.7</v>
      </c>
      <c r="T8" s="4">
        <v>0.65354330708661412</v>
      </c>
    </row>
    <row r="9" spans="1:20" ht="15" x14ac:dyDescent="0.35">
      <c r="A9" s="3" t="s">
        <v>22</v>
      </c>
      <c r="B9" s="4">
        <f>AVERAGEIF([1]Sheet1!$C$2:$C$1401,"Control",[1]Sheet1!$J$2:$J$1401)</f>
        <v>0.15652173913043479</v>
      </c>
      <c r="C9" s="4">
        <f>AVERAGEIF([1]Sheet1!$C$2:$C$1401,"Treatment",[1]Sheet1!$J$2:$J$1401)</f>
        <v>0.21126760563380281</v>
      </c>
      <c r="F9" s="5" t="s">
        <v>23</v>
      </c>
      <c r="G9" s="4">
        <v>3.2608695652173912E-2</v>
      </c>
      <c r="H9" s="4">
        <v>7.650273224043716E-2</v>
      </c>
      <c r="I9" s="4">
        <v>5.4495912806539509E-2</v>
      </c>
      <c r="K9" s="5" t="s">
        <v>23</v>
      </c>
      <c r="L9" s="4">
        <v>0.14130434782608695</v>
      </c>
      <c r="M9" s="4">
        <v>0.22404371584699453</v>
      </c>
      <c r="N9" s="4"/>
      <c r="O9" s="4">
        <v>0.18256130790190736</v>
      </c>
      <c r="Q9" s="5" t="s">
        <v>23</v>
      </c>
      <c r="R9" s="4">
        <v>0.60869565217391308</v>
      </c>
      <c r="S9" s="4">
        <v>0.77049180327868849</v>
      </c>
      <c r="T9" s="4">
        <v>0.68937329700272476</v>
      </c>
    </row>
    <row r="10" spans="1:20" ht="15" x14ac:dyDescent="0.35">
      <c r="A10" s="3" t="s">
        <v>24</v>
      </c>
      <c r="B10" s="4">
        <f>AVERAGEIF([1]Sheet1!$C$2:$C$1401,"Control",[1]Sheet1!$K$2:$K$1401)</f>
        <v>3.1884057971014491E-2</v>
      </c>
      <c r="C10" s="4">
        <f>AVERAGEIF([1]Sheet1!$C$2:$C$1401,"Treatment",[1]Sheet1!$K$2:$K$1401)</f>
        <v>7.0422535211267609E-2</v>
      </c>
      <c r="F10" s="5" t="s">
        <v>25</v>
      </c>
      <c r="G10" s="4">
        <v>3.3783783783783786E-2</v>
      </c>
      <c r="H10" s="4">
        <v>5.0847457627118647E-2</v>
      </c>
      <c r="I10" s="4">
        <v>4.3076923076923075E-2</v>
      </c>
      <c r="K10" s="5" t="s">
        <v>25</v>
      </c>
      <c r="L10" s="4">
        <v>0.1554054054054054</v>
      </c>
      <c r="M10" s="4">
        <v>0.2768361581920904</v>
      </c>
      <c r="N10" s="4"/>
      <c r="O10" s="4">
        <v>0.22153846153846155</v>
      </c>
      <c r="Q10" s="5" t="s">
        <v>25</v>
      </c>
      <c r="R10" s="4">
        <v>0.67567567567567566</v>
      </c>
      <c r="S10" s="4">
        <v>0.67796610169491522</v>
      </c>
      <c r="T10" s="4">
        <v>0.67692307692307696</v>
      </c>
    </row>
    <row r="11" spans="1:20" ht="15" x14ac:dyDescent="0.35">
      <c r="A11" s="3" t="s">
        <v>26</v>
      </c>
      <c r="B11">
        <f>AVERAGEIF([1]Sheet1!$C$2:$C$1401,"Control",[1]Sheet1!$M$2:$M$1401)</f>
        <v>28.523536231884055</v>
      </c>
      <c r="C11">
        <f>AVERAGEIF([1]Sheet1!$C$2:$C$1401,"Treatment",[1]Sheet1!$M$2:$M$1401)</f>
        <v>49.62790140845069</v>
      </c>
      <c r="F11" s="5" t="s">
        <v>16</v>
      </c>
      <c r="G11" s="4">
        <v>3.1884057971014491E-2</v>
      </c>
      <c r="H11" s="4">
        <v>7.0422535211267609E-2</v>
      </c>
      <c r="I11" s="4">
        <v>5.1428571428571428E-2</v>
      </c>
      <c r="K11" s="5" t="s">
        <v>17</v>
      </c>
      <c r="L11" s="4"/>
      <c r="M11" s="4"/>
      <c r="N11" s="4"/>
      <c r="O11" s="4"/>
      <c r="Q11" s="5" t="s">
        <v>16</v>
      </c>
      <c r="R11" s="4">
        <v>0.63623188405797104</v>
      </c>
      <c r="S11" s="4">
        <v>0.72394366197183102</v>
      </c>
      <c r="T11" s="4">
        <v>0.68071428571428572</v>
      </c>
    </row>
    <row r="12" spans="1:20" ht="15" x14ac:dyDescent="0.35">
      <c r="A12" s="3" t="s">
        <v>27</v>
      </c>
      <c r="B12">
        <f>AVERAGEIFS([1]Sheet1!$M$2:$M$1401,[1]Sheet1!$C$2:$C$1401,"Control",[1]Sheet1!$K$2:$K$1401,1)</f>
        <v>894.60181818181809</v>
      </c>
      <c r="C12">
        <f>AVERAGEIFS([1]Sheet1!$M$2:$M$1401,[1]Sheet1!$C$2:$C$1401,"Treatment",[1]Sheet1!$K$2:$K$1401,1)</f>
        <v>704.71619999999984</v>
      </c>
      <c r="K12" s="5" t="s">
        <v>16</v>
      </c>
      <c r="L12" s="4">
        <v>0.14782608695652175</v>
      </c>
      <c r="M12" s="4">
        <v>0.24788732394366197</v>
      </c>
      <c r="N12" s="4"/>
      <c r="O12" s="4">
        <v>0.19857142857142857</v>
      </c>
    </row>
    <row r="13" spans="1:20" ht="15" x14ac:dyDescent="0.35">
      <c r="A13" s="3" t="s">
        <v>28</v>
      </c>
      <c r="B13" s="4">
        <f>AVERAGEIF([1]Sheet1!$C$2:$C$1401,"Control",[1]Sheet1!$P$2:$P$1401)</f>
        <v>0</v>
      </c>
      <c r="C13" s="4">
        <f>AVERAGEIF([1]Sheet1!$C$2:$C$1401,"Treatment",[1]Sheet1!$P$2:$P$1401)</f>
        <v>4.2253521126760559E-3</v>
      </c>
    </row>
    <row r="14" spans="1:20" ht="16.2" x14ac:dyDescent="0.35">
      <c r="A14" s="3" t="s">
        <v>29</v>
      </c>
      <c r="B14" s="4">
        <f>COUNTIFS([1]Sheet1!C2:C1401,"Control",[1]Sheet1!N2:N1401,"&gt;"&amp;0)/690</f>
        <v>0.14782608695652175</v>
      </c>
      <c r="C14" s="4">
        <f>COUNTIFS([1]Sheet1!C2:C1401,"Treatment",[1]Sheet1!N2:N1401,"&gt;"&amp;0)/710</f>
        <v>0.24788732394366197</v>
      </c>
      <c r="F14" s="7" t="s">
        <v>30</v>
      </c>
      <c r="G14" s="7"/>
      <c r="H14" s="7"/>
      <c r="I14" s="7"/>
      <c r="K14" s="7" t="s">
        <v>31</v>
      </c>
      <c r="L14" s="7"/>
      <c r="M14" s="7"/>
      <c r="N14" s="7"/>
      <c r="O14" s="7"/>
    </row>
    <row r="15" spans="1:20" ht="15" x14ac:dyDescent="0.35">
      <c r="A15" s="3" t="s">
        <v>32</v>
      </c>
      <c r="B15">
        <f>AVERAGEIF([1]Sheet1!$C$2:$C$1401,"Control",[1]Sheet1!$R$2:$R$1401)</f>
        <v>57.029532163742729</v>
      </c>
      <c r="C15">
        <f>AVERAGEIF([1]Sheet1!$C$2:$C$1401,"Treatment",[1]Sheet1!$R$2:$R$1401)</f>
        <v>62.940028490028489</v>
      </c>
      <c r="F15" s="6" t="s">
        <v>8</v>
      </c>
      <c r="G15" s="6" t="s">
        <v>9</v>
      </c>
      <c r="K15" s="6" t="s">
        <v>10</v>
      </c>
      <c r="L15" s="6" t="s">
        <v>9</v>
      </c>
    </row>
    <row r="16" spans="1:20" ht="16.2" x14ac:dyDescent="0.35">
      <c r="A16" s="3" t="s">
        <v>33</v>
      </c>
      <c r="B16">
        <f>AVERAGEIF([1]Sheet1!$C$2:$C$1401,"Control",[1]Sheet1!$Q$2:$Q$1401)</f>
        <v>8.8636363636363633</v>
      </c>
      <c r="C16">
        <f>AVERAGEIF([1]Sheet1!$C$2:$C$1401,"Treatment",[1]Sheet1!$Q$2:$Q$1401)</f>
        <v>6.4</v>
      </c>
      <c r="F16" s="6" t="s">
        <v>13</v>
      </c>
      <c r="G16" t="s">
        <v>14</v>
      </c>
      <c r="H16" t="s">
        <v>15</v>
      </c>
      <c r="I16" t="s">
        <v>16</v>
      </c>
      <c r="K16" s="6" t="s">
        <v>13</v>
      </c>
      <c r="L16" t="s">
        <v>14</v>
      </c>
      <c r="M16" t="s">
        <v>15</v>
      </c>
      <c r="N16" t="s">
        <v>17</v>
      </c>
      <c r="O16" t="s">
        <v>16</v>
      </c>
      <c r="Q16" s="7" t="s">
        <v>34</v>
      </c>
      <c r="R16" s="7"/>
      <c r="S16" s="7"/>
      <c r="T16" s="7"/>
    </row>
    <row r="17" spans="6:20" x14ac:dyDescent="0.3">
      <c r="F17" s="5" t="s">
        <v>35</v>
      </c>
      <c r="G17" s="4">
        <v>4.4999999999999998E-2</v>
      </c>
      <c r="H17" s="4">
        <v>6.5727699530516437E-2</v>
      </c>
      <c r="I17" s="4">
        <v>5.569007263922518E-2</v>
      </c>
      <c r="K17" s="5" t="s">
        <v>35</v>
      </c>
      <c r="L17" s="4">
        <v>0.15</v>
      </c>
      <c r="M17" s="4">
        <v>0.23943661971830985</v>
      </c>
      <c r="N17" s="4"/>
      <c r="O17" s="4">
        <v>0.19612590799031476</v>
      </c>
      <c r="Q17" s="6" t="s">
        <v>11</v>
      </c>
      <c r="R17" s="6" t="s">
        <v>9</v>
      </c>
    </row>
    <row r="18" spans="6:20" x14ac:dyDescent="0.3">
      <c r="F18" s="5" t="s">
        <v>36</v>
      </c>
      <c r="G18" s="4">
        <v>2.5821596244131457E-2</v>
      </c>
      <c r="H18" s="4">
        <v>7.407407407407407E-2</v>
      </c>
      <c r="I18" s="4">
        <v>5.011655011655012E-2</v>
      </c>
      <c r="K18" s="5" t="s">
        <v>36</v>
      </c>
      <c r="L18" s="4">
        <v>0.15258215962441316</v>
      </c>
      <c r="M18" s="4">
        <v>0.25231481481481483</v>
      </c>
      <c r="N18" s="4"/>
      <c r="O18" s="4">
        <v>0.20279720279720279</v>
      </c>
      <c r="Q18" s="6" t="s">
        <v>13</v>
      </c>
      <c r="R18" t="s">
        <v>14</v>
      </c>
      <c r="S18" t="s">
        <v>15</v>
      </c>
      <c r="T18" t="s">
        <v>16</v>
      </c>
    </row>
    <row r="19" spans="6:20" x14ac:dyDescent="0.3">
      <c r="F19" s="5" t="s">
        <v>37</v>
      </c>
      <c r="G19" s="4">
        <v>1.8181818181818181E-2</v>
      </c>
      <c r="H19" s="4">
        <v>7.1428571428571425E-2</v>
      </c>
      <c r="I19" s="4">
        <v>4.5045045045045043E-2</v>
      </c>
      <c r="K19" s="5" t="s">
        <v>37</v>
      </c>
      <c r="L19" s="4">
        <v>0.10909090909090909</v>
      </c>
      <c r="M19" s="4">
        <v>0.21428571428571427</v>
      </c>
      <c r="N19" s="4"/>
      <c r="O19" s="4">
        <v>0.16216216216216217</v>
      </c>
      <c r="Q19" s="5" t="s">
        <v>35</v>
      </c>
      <c r="R19" s="4">
        <v>0.66</v>
      </c>
      <c r="S19" s="4">
        <v>0.76056338028169013</v>
      </c>
      <c r="T19" s="4">
        <v>0.71186440677966101</v>
      </c>
    </row>
    <row r="20" spans="6:20" x14ac:dyDescent="0.3">
      <c r="F20" s="5" t="s">
        <v>38</v>
      </c>
      <c r="G20" s="4">
        <v>0.1111111111111111</v>
      </c>
      <c r="H20" s="4">
        <v>0</v>
      </c>
      <c r="I20" s="4">
        <v>5.5555555555555552E-2</v>
      </c>
      <c r="K20" s="5" t="s">
        <v>38</v>
      </c>
      <c r="L20" s="4">
        <v>0.1111111111111111</v>
      </c>
      <c r="M20" s="4">
        <v>0.44444444444444442</v>
      </c>
      <c r="N20" s="4"/>
      <c r="O20" s="4">
        <v>0.27777777777777779</v>
      </c>
      <c r="Q20" s="5" t="s">
        <v>36</v>
      </c>
      <c r="R20" s="4">
        <v>0.61502347417840375</v>
      </c>
      <c r="S20" s="4">
        <v>0.71064814814814814</v>
      </c>
      <c r="T20" s="4">
        <v>0.6631701631701632</v>
      </c>
    </row>
    <row r="21" spans="6:20" x14ac:dyDescent="0.3">
      <c r="F21" s="5" t="s">
        <v>16</v>
      </c>
      <c r="G21" s="4">
        <v>3.1884057971014491E-2</v>
      </c>
      <c r="H21" s="4">
        <v>7.0422535211267609E-2</v>
      </c>
      <c r="I21" s="4">
        <v>5.1428571428571428E-2</v>
      </c>
      <c r="K21" s="5" t="s">
        <v>17</v>
      </c>
      <c r="L21" s="4"/>
      <c r="M21" s="4"/>
      <c r="N21" s="4"/>
      <c r="O21" s="4"/>
      <c r="Q21" s="5" t="s">
        <v>37</v>
      </c>
      <c r="R21" s="4">
        <v>0.65454545454545454</v>
      </c>
      <c r="S21" s="4">
        <v>0.6607142857142857</v>
      </c>
      <c r="T21" s="4">
        <v>0.65765765765765771</v>
      </c>
    </row>
    <row r="22" spans="6:20" x14ac:dyDescent="0.3">
      <c r="K22" s="5" t="s">
        <v>16</v>
      </c>
      <c r="L22" s="4">
        <v>0.14782608695652175</v>
      </c>
      <c r="M22" s="4">
        <v>0.24788732394366197</v>
      </c>
      <c r="N22" s="4"/>
      <c r="O22" s="4">
        <v>0.19857142857142857</v>
      </c>
      <c r="Q22" s="5" t="s">
        <v>38</v>
      </c>
      <c r="R22" s="4">
        <v>1</v>
      </c>
      <c r="S22" s="4">
        <v>0.88888888888888884</v>
      </c>
      <c r="T22" s="4">
        <v>0.94444444444444442</v>
      </c>
    </row>
    <row r="23" spans="6:20" x14ac:dyDescent="0.3">
      <c r="Q23" s="5" t="s">
        <v>16</v>
      </c>
      <c r="R23" s="4">
        <v>0.63623188405797104</v>
      </c>
      <c r="S23" s="4">
        <v>0.72394366197183102</v>
      </c>
      <c r="T23" s="4">
        <v>0.68071428571428572</v>
      </c>
    </row>
    <row r="24" spans="6:20" ht="15.6" x14ac:dyDescent="0.3">
      <c r="F24" s="7" t="s">
        <v>39</v>
      </c>
      <c r="G24" s="7"/>
      <c r="H24" s="7"/>
      <c r="I24" s="7"/>
      <c r="K24" s="7" t="s">
        <v>40</v>
      </c>
      <c r="L24" s="7"/>
      <c r="M24" s="7"/>
      <c r="N24" s="7"/>
      <c r="O24" s="7"/>
    </row>
    <row r="25" spans="6:20" x14ac:dyDescent="0.3">
      <c r="F25" s="6" t="s">
        <v>8</v>
      </c>
      <c r="G25" s="6" t="s">
        <v>9</v>
      </c>
      <c r="K25" s="6" t="s">
        <v>10</v>
      </c>
      <c r="L25" s="6" t="s">
        <v>9</v>
      </c>
    </row>
    <row r="26" spans="6:20" ht="15.6" x14ac:dyDescent="0.3">
      <c r="F26" s="6" t="s">
        <v>13</v>
      </c>
      <c r="G26" t="s">
        <v>14</v>
      </c>
      <c r="H26" t="s">
        <v>15</v>
      </c>
      <c r="I26" t="s">
        <v>16</v>
      </c>
      <c r="K26" s="6" t="s">
        <v>13</v>
      </c>
      <c r="L26" t="s">
        <v>14</v>
      </c>
      <c r="M26" t="s">
        <v>15</v>
      </c>
      <c r="N26" t="s">
        <v>17</v>
      </c>
      <c r="O26" t="s">
        <v>16</v>
      </c>
      <c r="Q26" s="7" t="s">
        <v>41</v>
      </c>
      <c r="R26" s="7"/>
      <c r="S26" s="7"/>
      <c r="T26" s="7"/>
    </row>
    <row r="27" spans="6:20" x14ac:dyDescent="0.3">
      <c r="F27" s="5" t="s">
        <v>42</v>
      </c>
      <c r="G27" s="4">
        <v>2.7397260273972601E-2</v>
      </c>
      <c r="H27" s="4">
        <v>7.1428571428571425E-2</v>
      </c>
      <c r="I27" s="4">
        <v>4.6511627906976744E-2</v>
      </c>
      <c r="K27" s="5" t="s">
        <v>42</v>
      </c>
      <c r="L27" s="4">
        <v>0.16438356164383561</v>
      </c>
      <c r="M27" s="4">
        <v>0.3392857142857143</v>
      </c>
      <c r="N27" s="4"/>
      <c r="O27" s="4">
        <v>0.24031007751937986</v>
      </c>
      <c r="Q27" s="6" t="s">
        <v>11</v>
      </c>
      <c r="R27" s="6" t="s">
        <v>9</v>
      </c>
    </row>
    <row r="28" spans="6:20" x14ac:dyDescent="0.3">
      <c r="F28" s="5" t="s">
        <v>43</v>
      </c>
      <c r="G28" s="4">
        <v>2.032520325203252E-2</v>
      </c>
      <c r="H28" s="4">
        <v>6.3291139240506333E-2</v>
      </c>
      <c r="I28" s="4">
        <v>4.1407867494824016E-2</v>
      </c>
      <c r="K28" s="5" t="s">
        <v>43</v>
      </c>
      <c r="L28" s="4">
        <v>0.12195121951219512</v>
      </c>
      <c r="M28" s="4">
        <v>0.22784810126582278</v>
      </c>
      <c r="N28" s="4"/>
      <c r="O28" s="4">
        <v>0.17391304347826086</v>
      </c>
      <c r="Q28" s="6" t="s">
        <v>13</v>
      </c>
      <c r="R28" t="s">
        <v>14</v>
      </c>
      <c r="S28" t="s">
        <v>15</v>
      </c>
      <c r="T28" t="s">
        <v>16</v>
      </c>
    </row>
    <row r="29" spans="6:20" x14ac:dyDescent="0.3">
      <c r="F29" s="5" t="s">
        <v>44</v>
      </c>
      <c r="G29" s="4">
        <v>1.2903225806451613E-2</v>
      </c>
      <c r="H29" s="4">
        <v>6.25E-2</v>
      </c>
      <c r="I29" s="4">
        <v>3.9274924471299093E-2</v>
      </c>
      <c r="K29" s="5" t="s">
        <v>44</v>
      </c>
      <c r="L29" s="4">
        <v>0.18709677419354839</v>
      </c>
      <c r="M29" s="4">
        <v>0.22159090909090909</v>
      </c>
      <c r="N29" s="4"/>
      <c r="O29" s="4">
        <v>0.20543806646525681</v>
      </c>
      <c r="Q29" s="5" t="s">
        <v>42</v>
      </c>
      <c r="R29" s="4">
        <v>0.63013698630136983</v>
      </c>
      <c r="S29" s="4">
        <v>0.8035714285714286</v>
      </c>
      <c r="T29" s="4">
        <v>0.70542635658914732</v>
      </c>
    </row>
    <row r="30" spans="6:20" x14ac:dyDescent="0.3">
      <c r="F30" s="5" t="s">
        <v>45</v>
      </c>
      <c r="G30" s="4">
        <v>2.4691358024691357E-2</v>
      </c>
      <c r="H30" s="4">
        <v>0.10989010989010989</v>
      </c>
      <c r="I30" s="4">
        <v>6.9767441860465115E-2</v>
      </c>
      <c r="K30" s="5" t="s">
        <v>45</v>
      </c>
      <c r="L30" s="4">
        <v>0.12345679012345678</v>
      </c>
      <c r="M30" s="4">
        <v>0.2857142857142857</v>
      </c>
      <c r="N30" s="4"/>
      <c r="O30" s="4">
        <v>0.20930232558139536</v>
      </c>
      <c r="Q30" s="5" t="s">
        <v>43</v>
      </c>
      <c r="R30" s="4">
        <v>0.61382113821138207</v>
      </c>
      <c r="S30" s="4">
        <v>0.73839662447257381</v>
      </c>
      <c r="T30" s="4">
        <v>0.67494824016563149</v>
      </c>
    </row>
    <row r="31" spans="6:20" x14ac:dyDescent="0.3">
      <c r="F31" s="5" t="s">
        <v>46</v>
      </c>
      <c r="G31" s="4">
        <v>7.7519379844961239E-2</v>
      </c>
      <c r="H31" s="4">
        <v>6.0606060606060608E-2</v>
      </c>
      <c r="I31" s="4">
        <v>6.8965517241379309E-2</v>
      </c>
      <c r="K31" s="5" t="s">
        <v>46</v>
      </c>
      <c r="L31" s="4">
        <v>0.14728682170542637</v>
      </c>
      <c r="M31" s="4">
        <v>0.27272727272727271</v>
      </c>
      <c r="N31" s="4"/>
      <c r="O31" s="4">
        <v>0.21072796934865901</v>
      </c>
      <c r="Q31" s="5" t="s">
        <v>44</v>
      </c>
      <c r="R31" s="4">
        <v>0.65161290322580645</v>
      </c>
      <c r="S31" s="4">
        <v>0.69318181818181823</v>
      </c>
      <c r="T31" s="4">
        <v>0.6737160120845922</v>
      </c>
    </row>
    <row r="32" spans="6:20" x14ac:dyDescent="0.3">
      <c r="F32" s="5" t="s">
        <v>38</v>
      </c>
      <c r="G32" s="4">
        <v>0.16666666666666666</v>
      </c>
      <c r="H32" s="4">
        <v>0.1111111111111111</v>
      </c>
      <c r="I32" s="4">
        <v>0.125</v>
      </c>
      <c r="K32" s="5" t="s">
        <v>38</v>
      </c>
      <c r="L32" s="4">
        <v>0.33333333333333331</v>
      </c>
      <c r="M32" s="4">
        <v>0.1111111111111111</v>
      </c>
      <c r="N32" s="4"/>
      <c r="O32" s="4">
        <v>0.16666666666666666</v>
      </c>
      <c r="Q32" s="5" t="s">
        <v>45</v>
      </c>
      <c r="R32" s="4">
        <v>0.59259259259259256</v>
      </c>
      <c r="S32" s="4">
        <v>0.75824175824175821</v>
      </c>
      <c r="T32" s="4">
        <v>0.68023255813953487</v>
      </c>
    </row>
    <row r="33" spans="6:20" x14ac:dyDescent="0.3">
      <c r="F33" s="5" t="s">
        <v>16</v>
      </c>
      <c r="G33" s="4">
        <v>3.1884057971014491E-2</v>
      </c>
      <c r="H33" s="4">
        <v>7.0422535211267609E-2</v>
      </c>
      <c r="I33" s="4">
        <v>5.1428571428571428E-2</v>
      </c>
      <c r="K33" s="5" t="s">
        <v>17</v>
      </c>
      <c r="L33" s="4"/>
      <c r="M33" s="4"/>
      <c r="N33" s="4"/>
      <c r="O33" s="4"/>
      <c r="Q33" s="5" t="s">
        <v>46</v>
      </c>
      <c r="R33" s="4">
        <v>0.68992248062015504</v>
      </c>
      <c r="S33" s="4">
        <v>0.6742424242424242</v>
      </c>
      <c r="T33" s="4">
        <v>0.68199233716475094</v>
      </c>
    </row>
    <row r="34" spans="6:20" x14ac:dyDescent="0.3">
      <c r="K34" s="5" t="s">
        <v>16</v>
      </c>
      <c r="L34" s="4">
        <v>0.14782608695652175</v>
      </c>
      <c r="M34" s="4">
        <v>0.24788732394366197</v>
      </c>
      <c r="N34" s="4"/>
      <c r="O34" s="4">
        <v>0.19857142857142857</v>
      </c>
      <c r="Q34" s="5" t="s">
        <v>38</v>
      </c>
      <c r="R34" s="4">
        <v>0.66666666666666663</v>
      </c>
      <c r="S34" s="4">
        <v>0.77777777777777779</v>
      </c>
      <c r="T34" s="4">
        <v>0.75</v>
      </c>
    </row>
    <row r="35" spans="6:20" x14ac:dyDescent="0.3">
      <c r="Q35" s="5" t="s">
        <v>16</v>
      </c>
      <c r="R35" s="4">
        <v>0.63623188405797104</v>
      </c>
      <c r="S35" s="4">
        <v>0.72394366197183102</v>
      </c>
      <c r="T35" s="4">
        <v>0.68071428571428572</v>
      </c>
    </row>
    <row r="36" spans="6:20" ht="15.6" x14ac:dyDescent="0.3">
      <c r="F36" s="7" t="s">
        <v>47</v>
      </c>
      <c r="G36" s="7"/>
      <c r="H36" s="7"/>
      <c r="I36" s="7"/>
    </row>
    <row r="37" spans="6:20" ht="15.6" x14ac:dyDescent="0.3">
      <c r="F37" s="6" t="s">
        <v>8</v>
      </c>
      <c r="G37" s="6" t="s">
        <v>9</v>
      </c>
      <c r="K37" s="7" t="s">
        <v>48</v>
      </c>
      <c r="L37" s="7"/>
      <c r="M37" s="7"/>
      <c r="N37" s="7"/>
      <c r="O37" s="7"/>
    </row>
    <row r="38" spans="6:20" ht="15.6" x14ac:dyDescent="0.3">
      <c r="F38" s="6" t="s">
        <v>13</v>
      </c>
      <c r="G38" t="s">
        <v>14</v>
      </c>
      <c r="H38" t="s">
        <v>15</v>
      </c>
      <c r="I38" t="s">
        <v>16</v>
      </c>
      <c r="K38" s="6" t="s">
        <v>10</v>
      </c>
      <c r="L38" s="6" t="s">
        <v>9</v>
      </c>
      <c r="Q38" s="7" t="s">
        <v>49</v>
      </c>
      <c r="R38" s="7"/>
      <c r="S38" s="7"/>
      <c r="T38" s="7"/>
    </row>
    <row r="39" spans="6:20" x14ac:dyDescent="0.3">
      <c r="F39" s="5" t="s">
        <v>50</v>
      </c>
      <c r="G39" s="4">
        <v>3.6199095022624438E-2</v>
      </c>
      <c r="H39" s="4">
        <v>3.8793103448275863E-2</v>
      </c>
      <c r="I39" s="4">
        <v>3.7527593818984545E-2</v>
      </c>
      <c r="K39" s="6" t="s">
        <v>13</v>
      </c>
      <c r="L39" t="s">
        <v>14</v>
      </c>
      <c r="M39" t="s">
        <v>15</v>
      </c>
      <c r="N39" t="s">
        <v>17</v>
      </c>
      <c r="O39" t="s">
        <v>16</v>
      </c>
      <c r="Q39" s="6" t="s">
        <v>11</v>
      </c>
      <c r="R39" s="6" t="s">
        <v>9</v>
      </c>
    </row>
    <row r="40" spans="6:20" x14ac:dyDescent="0.3">
      <c r="F40" s="5" t="s">
        <v>51</v>
      </c>
      <c r="G40" s="4">
        <v>3.0555555555555555E-2</v>
      </c>
      <c r="H40" s="4">
        <v>9.2896174863387984E-2</v>
      </c>
      <c r="I40" s="4">
        <v>6.1983471074380167E-2</v>
      </c>
      <c r="K40" s="5" t="s">
        <v>50</v>
      </c>
      <c r="L40" s="4">
        <v>0.14479638009049775</v>
      </c>
      <c r="M40" s="4">
        <v>0.25</v>
      </c>
      <c r="N40" s="4"/>
      <c r="O40" s="4">
        <v>0.19867549668874171</v>
      </c>
      <c r="Q40" s="6" t="s">
        <v>13</v>
      </c>
      <c r="R40" t="s">
        <v>14</v>
      </c>
      <c r="S40" t="s">
        <v>15</v>
      </c>
      <c r="T40" t="s">
        <v>16</v>
      </c>
    </row>
    <row r="41" spans="6:20" x14ac:dyDescent="0.3">
      <c r="F41" s="5" t="s">
        <v>52</v>
      </c>
      <c r="G41" s="4">
        <v>2.7522935779816515E-2</v>
      </c>
      <c r="H41" s="4">
        <v>6.25E-2</v>
      </c>
      <c r="I41" s="4">
        <v>4.5248868778280542E-2</v>
      </c>
      <c r="K41" s="5" t="s">
        <v>51</v>
      </c>
      <c r="L41" s="4">
        <v>0.12222222222222222</v>
      </c>
      <c r="M41" s="4">
        <v>0.24043715846994534</v>
      </c>
      <c r="N41" s="4"/>
      <c r="O41" s="4">
        <v>0.18181818181818182</v>
      </c>
      <c r="Q41" s="5" t="s">
        <v>50</v>
      </c>
      <c r="R41" s="4">
        <v>0.62895927601809953</v>
      </c>
      <c r="S41" s="4">
        <v>0.71120689655172409</v>
      </c>
      <c r="T41" s="4">
        <v>0.67108167770419425</v>
      </c>
    </row>
    <row r="42" spans="6:20" x14ac:dyDescent="0.3">
      <c r="F42" s="5" t="s">
        <v>16</v>
      </c>
      <c r="G42" s="4">
        <v>3.1884057971014491E-2</v>
      </c>
      <c r="H42" s="4">
        <v>7.0422535211267609E-2</v>
      </c>
      <c r="I42" s="4">
        <v>5.1428571428571428E-2</v>
      </c>
      <c r="K42" s="5" t="s">
        <v>52</v>
      </c>
      <c r="L42" s="4">
        <v>0.23853211009174313</v>
      </c>
      <c r="M42" s="4">
        <v>0.26785714285714285</v>
      </c>
      <c r="N42" s="4"/>
      <c r="O42" s="4">
        <v>0.25339366515837103</v>
      </c>
      <c r="Q42" s="5" t="s">
        <v>51</v>
      </c>
      <c r="R42" s="4">
        <v>0.625</v>
      </c>
      <c r="S42" s="4">
        <v>0.73497267759562845</v>
      </c>
      <c r="T42" s="4">
        <v>0.68044077134986225</v>
      </c>
    </row>
    <row r="43" spans="6:20" x14ac:dyDescent="0.3">
      <c r="K43" s="5" t="s">
        <v>17</v>
      </c>
      <c r="L43" s="4"/>
      <c r="M43" s="4"/>
      <c r="N43" s="4"/>
      <c r="O43" s="4"/>
      <c r="Q43" s="5" t="s">
        <v>52</v>
      </c>
      <c r="R43" s="4">
        <v>0.68807339449541283</v>
      </c>
      <c r="S43" s="4">
        <v>0.7142857142857143</v>
      </c>
      <c r="T43" s="4">
        <v>0.70135746606334837</v>
      </c>
    </row>
    <row r="44" spans="6:20" x14ac:dyDescent="0.3">
      <c r="K44" s="5" t="s">
        <v>16</v>
      </c>
      <c r="L44" s="4">
        <v>0.14782608695652175</v>
      </c>
      <c r="M44" s="4">
        <v>0.24788732394366197</v>
      </c>
      <c r="N44" s="4"/>
      <c r="O44" s="4">
        <v>0.19857142857142857</v>
      </c>
      <c r="Q44" s="5" t="s">
        <v>16</v>
      </c>
      <c r="R44" s="4">
        <v>0.63623188405797104</v>
      </c>
      <c r="S44" s="4">
        <v>0.72394366197183102</v>
      </c>
      <c r="T44" s="4">
        <v>0.68071428571428572</v>
      </c>
    </row>
  </sheetData>
  <mergeCells count="14">
    <mergeCell ref="F14:I14"/>
    <mergeCell ref="K14:O14"/>
    <mergeCell ref="F1:H2"/>
    <mergeCell ref="A3:C4"/>
    <mergeCell ref="F4:I4"/>
    <mergeCell ref="K4:O4"/>
    <mergeCell ref="Q4:T4"/>
    <mergeCell ref="Q38:T38"/>
    <mergeCell ref="Q16:T16"/>
    <mergeCell ref="F24:I24"/>
    <mergeCell ref="K24:O24"/>
    <mergeCell ref="Q26:T26"/>
    <mergeCell ref="F36:I36"/>
    <mergeCell ref="K37:O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Rathore</dc:creator>
  <cp:lastModifiedBy>Ajay Rathore</cp:lastModifiedBy>
  <dcterms:created xsi:type="dcterms:W3CDTF">2026-06-26T09:48:49Z</dcterms:created>
  <dcterms:modified xsi:type="dcterms:W3CDTF">2026-06-26T10:19:39Z</dcterms:modified>
</cp:coreProperties>
</file>